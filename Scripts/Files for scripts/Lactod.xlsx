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tudk-my.sharepoint.com/personal/pearoro_dtu_dk/Documents/Documents/ColiShield/Pearo_16S/Pearo_16S/"/>
    </mc:Choice>
  </mc:AlternateContent>
  <xr:revisionPtr revIDLastSave="654" documentId="8_{D4A49D83-8C5F-493E-890E-91927F3DD965}" xr6:coauthVersionLast="47" xr6:coauthVersionMax="47" xr10:uidLastSave="{0C73A7F1-AC24-47F2-B69C-9BB97E24EB2F}"/>
  <bookViews>
    <workbookView xWindow="20385" yWindow="-16350" windowWidth="29040" windowHeight="15720" xr2:uid="{F67E2F4F-22F7-4C66-B292-5CF1F8CB6FCF}"/>
  </bookViews>
  <sheets>
    <sheet name="Sheet1" sheetId="1" r:id="rId1"/>
  </sheets>
  <definedNames>
    <definedName name="_xlnm._FilterDatabase" localSheetId="0" hidden="1">Sheet1!$A$1:$N$1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868" i="1" l="1"/>
  <c r="G868" i="1" s="1"/>
  <c r="F870" i="1"/>
  <c r="G870" i="1" s="1"/>
  <c r="F1761" i="1"/>
  <c r="G1761" i="1" s="1"/>
  <c r="F1760" i="1"/>
  <c r="G1760" i="1" s="1"/>
  <c r="F1759" i="1"/>
  <c r="G1759" i="1" s="1"/>
  <c r="F1758" i="1"/>
  <c r="G1758" i="1" s="1"/>
  <c r="F1757" i="1"/>
  <c r="G1757" i="1" s="1"/>
  <c r="F1756" i="1"/>
  <c r="G1756" i="1" s="1"/>
  <c r="F1755" i="1"/>
  <c r="G1755" i="1" s="1"/>
  <c r="F1754" i="1"/>
  <c r="G1754" i="1" s="1"/>
  <c r="F1753" i="1"/>
  <c r="G1753" i="1" s="1"/>
  <c r="F1752" i="1"/>
  <c r="G1752" i="1" s="1"/>
  <c r="F1763" i="1"/>
  <c r="G1763" i="1" s="1"/>
  <c r="F1762" i="1"/>
  <c r="G1762" i="1" s="1"/>
  <c r="F1766" i="1"/>
  <c r="G1766" i="1" s="1"/>
  <c r="F1768" i="1"/>
  <c r="G1768" i="1" s="1"/>
  <c r="F1772" i="1"/>
  <c r="G1772" i="1" s="1"/>
  <c r="F1765" i="1"/>
  <c r="G1765" i="1" s="1"/>
  <c r="F1764" i="1"/>
  <c r="G1764" i="1" s="1"/>
  <c r="F1773" i="1"/>
  <c r="G1773" i="1" s="1"/>
  <c r="F1767" i="1"/>
  <c r="G1767" i="1" s="1"/>
  <c r="F1770" i="1"/>
  <c r="G1770" i="1" s="1"/>
  <c r="F1771" i="1"/>
  <c r="G1771" i="1" s="1"/>
  <c r="F1769" i="1"/>
  <c r="G1769" i="1" s="1"/>
  <c r="F876" i="1"/>
  <c r="G876" i="1" s="1"/>
  <c r="F874" i="1"/>
  <c r="G874" i="1" s="1"/>
  <c r="F1656" i="1" l="1"/>
  <c r="G1656" i="1" s="1"/>
  <c r="F1297" i="1" l="1"/>
  <c r="G1297" i="1" s="1"/>
  <c r="F1645" i="1"/>
  <c r="G1645" i="1" s="1"/>
  <c r="F1644" i="1"/>
  <c r="G1644" i="1" s="1"/>
  <c r="F1646" i="1"/>
  <c r="G1646" i="1" s="1"/>
  <c r="F1648" i="1"/>
  <c r="G1648" i="1" s="1"/>
  <c r="F1647" i="1"/>
  <c r="G1647" i="1" s="1"/>
  <c r="F1670" i="1"/>
  <c r="G1670" i="1" s="1"/>
  <c r="F1691" i="1"/>
  <c r="G1691" i="1" s="1"/>
  <c r="F1660" i="1"/>
  <c r="G1660" i="1" s="1"/>
  <c r="F1669" i="1"/>
  <c r="G1669" i="1" s="1"/>
  <c r="F1668" i="1"/>
  <c r="G1668" i="1" s="1"/>
  <c r="F1659" i="1"/>
  <c r="G1659" i="1" s="1"/>
  <c r="F1667" i="1"/>
  <c r="G1667" i="1" s="1"/>
  <c r="F1725" i="1"/>
  <c r="G1725" i="1" s="1"/>
  <c r="F1657" i="1"/>
  <c r="G1657" i="1" s="1"/>
  <c r="F1727" i="1"/>
  <c r="G1727" i="1" s="1"/>
  <c r="F1722" i="1"/>
  <c r="G1722" i="1" s="1"/>
  <c r="F1651" i="1"/>
  <c r="G1651" i="1" s="1"/>
  <c r="F1726" i="1"/>
  <c r="G1726" i="1" s="1"/>
  <c r="F1721" i="1"/>
  <c r="G1721" i="1" s="1"/>
  <c r="F1720" i="1"/>
  <c r="G1720" i="1" s="1"/>
  <c r="F1719" i="1"/>
  <c r="G1719" i="1" s="1"/>
  <c r="F1662" i="1"/>
  <c r="G1662" i="1" s="1"/>
  <c r="F1654" i="1"/>
  <c r="G1654" i="1" s="1"/>
  <c r="F1663" i="1"/>
  <c r="G1663" i="1" s="1"/>
  <c r="F1665" i="1"/>
  <c r="G1665" i="1" s="1"/>
  <c r="F1655" i="1"/>
  <c r="G1655" i="1" s="1"/>
  <c r="F1653" i="1"/>
  <c r="G1653" i="1" s="1"/>
  <c r="F1729" i="1"/>
  <c r="G1729" i="1" s="1"/>
  <c r="F1723" i="1"/>
  <c r="G1723" i="1" s="1"/>
  <c r="F1664" i="1"/>
  <c r="G1664" i="1" s="1"/>
  <c r="F1652" i="1"/>
  <c r="G1652" i="1" s="1"/>
  <c r="F1650" i="1"/>
  <c r="G1650" i="1" s="1"/>
  <c r="F1728" i="1"/>
  <c r="G1728" i="1" s="1"/>
  <c r="F1661" i="1"/>
  <c r="G1661" i="1" s="1"/>
  <c r="F1724" i="1"/>
  <c r="G1724" i="1" s="1"/>
  <c r="F1666" i="1"/>
  <c r="G1666" i="1" s="1"/>
  <c r="F1658" i="1"/>
  <c r="G1658" i="1" s="1"/>
  <c r="F1718" i="1"/>
  <c r="G1718" i="1" s="1"/>
  <c r="F1717" i="1"/>
  <c r="G1717" i="1" s="1"/>
  <c r="F1716" i="1"/>
  <c r="G1716" i="1" s="1"/>
  <c r="F1715" i="1"/>
  <c r="G1715" i="1" s="1"/>
  <c r="F1714" i="1"/>
  <c r="G1714" i="1" s="1"/>
  <c r="F1713" i="1"/>
  <c r="G1713" i="1" s="1"/>
  <c r="F1712" i="1"/>
  <c r="G1712" i="1" s="1"/>
  <c r="F1711" i="1"/>
  <c r="G1711" i="1" s="1"/>
  <c r="F1710" i="1"/>
  <c r="G1710" i="1" s="1"/>
  <c r="F1709" i="1"/>
  <c r="G1709" i="1" s="1"/>
  <c r="F1708" i="1"/>
  <c r="G1708" i="1" s="1"/>
  <c r="F1707" i="1"/>
  <c r="G1707" i="1" s="1"/>
  <c r="F1706" i="1"/>
  <c r="G1706" i="1" s="1"/>
  <c r="F1705" i="1"/>
  <c r="G1705" i="1" s="1"/>
  <c r="F1704" i="1"/>
  <c r="G1704" i="1" s="1"/>
  <c r="F1703" i="1"/>
  <c r="G1703" i="1" s="1"/>
  <c r="F1702" i="1"/>
  <c r="G1702" i="1" s="1"/>
  <c r="F1701" i="1"/>
  <c r="G1701" i="1" s="1"/>
  <c r="F1700" i="1"/>
  <c r="G1700" i="1" s="1"/>
  <c r="F1699" i="1"/>
  <c r="G1699" i="1" s="1"/>
  <c r="F1698" i="1"/>
  <c r="G1698" i="1" s="1"/>
  <c r="F1697" i="1"/>
  <c r="G1697" i="1" s="1"/>
  <c r="F1696" i="1"/>
  <c r="G1696" i="1" s="1"/>
  <c r="F1695" i="1"/>
  <c r="G1695" i="1" s="1"/>
  <c r="F1694" i="1"/>
  <c r="G1694" i="1" s="1"/>
  <c r="F1693" i="1"/>
  <c r="G1693" i="1" s="1"/>
  <c r="F1692" i="1"/>
  <c r="G1692" i="1" s="1"/>
  <c r="F1690" i="1"/>
  <c r="G1690" i="1" s="1"/>
  <c r="F1689" i="1"/>
  <c r="G1689" i="1" s="1"/>
  <c r="F1688" i="1"/>
  <c r="G1688" i="1" s="1"/>
  <c r="F1687" i="1"/>
  <c r="G1687" i="1" s="1"/>
  <c r="F1686" i="1"/>
  <c r="G1686" i="1" s="1"/>
  <c r="F1685" i="1"/>
  <c r="G1685" i="1" s="1"/>
  <c r="F1684" i="1"/>
  <c r="G1684" i="1" s="1"/>
  <c r="F1683" i="1"/>
  <c r="G1683" i="1" s="1"/>
  <c r="F1682" i="1"/>
  <c r="G1682" i="1" s="1"/>
  <c r="F1681" i="1"/>
  <c r="G1681" i="1" s="1"/>
  <c r="F1680" i="1"/>
  <c r="G1680" i="1" s="1"/>
  <c r="F1679" i="1"/>
  <c r="G1679" i="1" s="1"/>
  <c r="F1678" i="1"/>
  <c r="G1678" i="1" s="1"/>
  <c r="F1677" i="1"/>
  <c r="G1677" i="1" s="1"/>
  <c r="F1676" i="1"/>
  <c r="G1676" i="1" s="1"/>
  <c r="F1675" i="1"/>
  <c r="G1675" i="1" s="1"/>
  <c r="F1674" i="1"/>
  <c r="G1674" i="1" s="1"/>
  <c r="F1673" i="1"/>
  <c r="G1673" i="1" s="1"/>
  <c r="F1672" i="1"/>
  <c r="G1672" i="1" s="1"/>
  <c r="F1671" i="1"/>
  <c r="G1671" i="1" s="1"/>
  <c r="F108" i="1"/>
  <c r="G108" i="1" s="1"/>
  <c r="F292" i="1"/>
  <c r="G292" i="1" s="1"/>
  <c r="F458" i="1"/>
  <c r="G458" i="1" s="1"/>
  <c r="F636" i="1"/>
  <c r="G636" i="1" s="1"/>
  <c r="F804" i="1"/>
  <c r="G804" i="1" s="1"/>
  <c r="F4" i="1"/>
  <c r="G4" i="1" s="1"/>
  <c r="F5" i="1"/>
  <c r="G5" i="1" s="1"/>
  <c r="F6" i="1"/>
  <c r="G6" i="1" s="1"/>
  <c r="F7" i="1"/>
  <c r="G7" i="1" s="1"/>
  <c r="F110" i="1"/>
  <c r="G110" i="1" s="1"/>
  <c r="F294" i="1"/>
  <c r="G294" i="1" s="1"/>
  <c r="F460" i="1"/>
  <c r="G460" i="1" s="1"/>
  <c r="F638" i="1"/>
  <c r="G638" i="1" s="1"/>
  <c r="F806" i="1"/>
  <c r="G806" i="1" s="1"/>
  <c r="F807" i="1"/>
  <c r="G807" i="1" s="1"/>
  <c r="F808" i="1"/>
  <c r="G808" i="1" s="1"/>
  <c r="F809" i="1"/>
  <c r="G809" i="1" s="1"/>
  <c r="F12" i="1"/>
  <c r="G12" i="1" s="1"/>
  <c r="F112" i="1"/>
  <c r="G112" i="1" s="1"/>
  <c r="F640" i="1"/>
  <c r="G640" i="1" s="1"/>
  <c r="F814" i="1"/>
  <c r="G814" i="1" s="1"/>
  <c r="F114" i="1"/>
  <c r="G114" i="1" s="1"/>
  <c r="F816" i="1"/>
  <c r="G816" i="1" s="1"/>
  <c r="F642" i="1"/>
  <c r="G642" i="1" s="1"/>
  <c r="F644" i="1"/>
  <c r="G644" i="1" s="1"/>
  <c r="F646" i="1"/>
  <c r="G646" i="1" s="1"/>
  <c r="F14" i="1"/>
  <c r="G14" i="1" s="1"/>
  <c r="F818" i="1"/>
  <c r="G818" i="1" s="1"/>
  <c r="F648" i="1"/>
  <c r="G648" i="1" s="1"/>
  <c r="F820" i="1"/>
  <c r="G820" i="1" s="1"/>
  <c r="F116" i="1"/>
  <c r="G116" i="1" s="1"/>
  <c r="F118" i="1"/>
  <c r="G118" i="1" s="1"/>
  <c r="F120" i="1"/>
  <c r="G120" i="1" s="1"/>
  <c r="F122" i="1"/>
  <c r="G122" i="1" s="1"/>
  <c r="F124" i="1"/>
  <c r="G124" i="1" s="1"/>
  <c r="F298" i="1"/>
  <c r="G298" i="1" s="1"/>
  <c r="F300" i="1"/>
  <c r="G300" i="1" s="1"/>
  <c r="F302" i="1"/>
  <c r="G302" i="1" s="1"/>
  <c r="F304" i="1"/>
  <c r="G304" i="1" s="1"/>
  <c r="F16" i="1"/>
  <c r="G16" i="1" s="1"/>
  <c r="F306" i="1"/>
  <c r="G306" i="1" s="1"/>
  <c r="F18" i="1"/>
  <c r="G18" i="1" s="1"/>
  <c r="F308" i="1"/>
  <c r="G308" i="1" s="1"/>
  <c r="F464" i="1"/>
  <c r="G464" i="1" s="1"/>
  <c r="F466" i="1"/>
  <c r="G466" i="1" s="1"/>
  <c r="F468" i="1"/>
  <c r="G468" i="1" s="1"/>
  <c r="F470" i="1"/>
  <c r="G470" i="1" s="1"/>
  <c r="F472" i="1"/>
  <c r="G472" i="1" s="1"/>
  <c r="F650" i="1"/>
  <c r="G650" i="1" s="1"/>
  <c r="F652" i="1"/>
  <c r="G652" i="1" s="1"/>
  <c r="F20" i="1"/>
  <c r="G20" i="1" s="1"/>
  <c r="F654" i="1"/>
  <c r="G654" i="1" s="1"/>
  <c r="F474" i="1"/>
  <c r="G474" i="1" s="1"/>
  <c r="F476" i="1"/>
  <c r="G476" i="1" s="1"/>
  <c r="F22" i="1"/>
  <c r="G22" i="1" s="1"/>
  <c r="F656" i="1"/>
  <c r="G656" i="1" s="1"/>
  <c r="F822" i="1"/>
  <c r="G822" i="1" s="1"/>
  <c r="F658" i="1"/>
  <c r="G658" i="1" s="1"/>
  <c r="F660" i="1"/>
  <c r="G660" i="1" s="1"/>
  <c r="F662" i="1"/>
  <c r="G662" i="1" s="1"/>
  <c r="F664" i="1"/>
  <c r="G664" i="1" s="1"/>
  <c r="F24" i="1"/>
  <c r="G24" i="1" s="1"/>
  <c r="F666" i="1"/>
  <c r="G666" i="1" s="1"/>
  <c r="F668" i="1"/>
  <c r="G668" i="1" s="1"/>
  <c r="F310" i="1"/>
  <c r="G310" i="1" s="1"/>
  <c r="F312" i="1"/>
  <c r="G312" i="1" s="1"/>
  <c r="F126" i="1"/>
  <c r="G126" i="1" s="1"/>
  <c r="F128" i="1"/>
  <c r="G128" i="1" s="1"/>
  <c r="F130" i="1"/>
  <c r="G130" i="1" s="1"/>
  <c r="F132" i="1"/>
  <c r="G132" i="1" s="1"/>
  <c r="F478" i="1"/>
  <c r="G478" i="1" s="1"/>
  <c r="F314" i="1"/>
  <c r="G314" i="1" s="1"/>
  <c r="F26" i="1"/>
  <c r="G26" i="1" s="1"/>
  <c r="F480" i="1"/>
  <c r="G480" i="1" s="1"/>
  <c r="F316" i="1"/>
  <c r="G316" i="1" s="1"/>
  <c r="F318" i="1"/>
  <c r="G318" i="1" s="1"/>
  <c r="F482" i="1"/>
  <c r="G482" i="1" s="1"/>
  <c r="F484" i="1"/>
  <c r="G484" i="1" s="1"/>
  <c r="F320" i="1"/>
  <c r="G320" i="1" s="1"/>
  <c r="F322" i="1"/>
  <c r="G322" i="1" s="1"/>
  <c r="F486" i="1"/>
  <c r="G486" i="1" s="1"/>
  <c r="F488" i="1"/>
  <c r="G488" i="1" s="1"/>
  <c r="F28" i="1"/>
  <c r="G28" i="1" s="1"/>
  <c r="F30" i="1"/>
  <c r="G30" i="1" s="1"/>
  <c r="F324" i="1"/>
  <c r="G324" i="1" s="1"/>
  <c r="F670" i="1"/>
  <c r="G670" i="1" s="1"/>
  <c r="F672" i="1"/>
  <c r="G672" i="1" s="1"/>
  <c r="F674" i="1"/>
  <c r="G674" i="1" s="1"/>
  <c r="F676" i="1"/>
  <c r="G676" i="1" s="1"/>
  <c r="F824" i="1"/>
  <c r="G824" i="1" s="1"/>
  <c r="F826" i="1"/>
  <c r="G826" i="1" s="1"/>
  <c r="F134" i="1"/>
  <c r="G134" i="1" s="1"/>
  <c r="F136" i="1"/>
  <c r="G136" i="1" s="1"/>
  <c r="F138" i="1"/>
  <c r="G138" i="1" s="1"/>
  <c r="F32" i="1"/>
  <c r="G32" i="1" s="1"/>
  <c r="F140" i="1"/>
  <c r="G140" i="1" s="1"/>
  <c r="F142" i="1"/>
  <c r="G142" i="1" s="1"/>
  <c r="F34" i="1"/>
  <c r="G34" i="1" s="1"/>
  <c r="F326" i="1"/>
  <c r="G326" i="1" s="1"/>
  <c r="F328" i="1"/>
  <c r="G328" i="1" s="1"/>
  <c r="F330" i="1"/>
  <c r="G330" i="1" s="1"/>
  <c r="F332" i="1"/>
  <c r="G332" i="1" s="1"/>
  <c r="F36" i="1"/>
  <c r="G36" i="1" s="1"/>
  <c r="F38" i="1"/>
  <c r="G38" i="1" s="1"/>
  <c r="F490" i="1"/>
  <c r="G490" i="1" s="1"/>
  <c r="F40" i="1"/>
  <c r="G40" i="1" s="1"/>
  <c r="F492" i="1"/>
  <c r="G492" i="1" s="1"/>
  <c r="F494" i="1"/>
  <c r="G494" i="1" s="1"/>
  <c r="F496" i="1"/>
  <c r="G496" i="1" s="1"/>
  <c r="F678" i="1"/>
  <c r="G678" i="1" s="1"/>
  <c r="F334" i="1"/>
  <c r="G334" i="1" s="1"/>
  <c r="F144" i="1"/>
  <c r="G144" i="1" s="1"/>
  <c r="F146" i="1"/>
  <c r="G146" i="1" s="1"/>
  <c r="F148" i="1"/>
  <c r="G148" i="1" s="1"/>
  <c r="F150" i="1"/>
  <c r="G150" i="1" s="1"/>
  <c r="F152" i="1"/>
  <c r="G152" i="1" s="1"/>
  <c r="F154" i="1"/>
  <c r="G154" i="1" s="1"/>
  <c r="F828" i="1"/>
  <c r="G828" i="1" s="1"/>
  <c r="F830" i="1"/>
  <c r="G830" i="1" s="1"/>
  <c r="F680" i="1"/>
  <c r="G680" i="1" s="1"/>
  <c r="F42" i="1"/>
  <c r="G42" i="1" s="1"/>
  <c r="F682" i="1"/>
  <c r="G682" i="1" s="1"/>
  <c r="F684" i="1"/>
  <c r="G684" i="1" s="1"/>
  <c r="F498" i="1"/>
  <c r="G498" i="1" s="1"/>
  <c r="F500" i="1"/>
  <c r="G500" i="1" s="1"/>
  <c r="F336" i="1"/>
  <c r="G336" i="1" s="1"/>
  <c r="F338" i="1"/>
  <c r="G338" i="1" s="1"/>
  <c r="F340" i="1"/>
  <c r="G340" i="1" s="1"/>
  <c r="F686" i="1"/>
  <c r="G686" i="1" s="1"/>
  <c r="F342" i="1"/>
  <c r="G342" i="1" s="1"/>
  <c r="F344" i="1"/>
  <c r="G344" i="1" s="1"/>
  <c r="F346" i="1"/>
  <c r="G346" i="1" s="1"/>
  <c r="F688" i="1"/>
  <c r="G688" i="1" s="1"/>
  <c r="F690" i="1"/>
  <c r="G690" i="1" s="1"/>
  <c r="F502" i="1"/>
  <c r="G502" i="1" s="1"/>
  <c r="F504" i="1"/>
  <c r="G504" i="1" s="1"/>
  <c r="F692" i="1"/>
  <c r="G692" i="1" s="1"/>
  <c r="F44" i="1"/>
  <c r="G44" i="1" s="1"/>
  <c r="F832" i="1"/>
  <c r="G832" i="1" s="1"/>
  <c r="F46" i="1"/>
  <c r="G46" i="1" s="1"/>
  <c r="F694" i="1"/>
  <c r="G694" i="1" s="1"/>
  <c r="F506" i="1"/>
  <c r="G506" i="1" s="1"/>
  <c r="F696" i="1"/>
  <c r="G696" i="1" s="1"/>
  <c r="F508" i="1"/>
  <c r="G508" i="1" s="1"/>
  <c r="F48" i="1"/>
  <c r="G48" i="1" s="1"/>
  <c r="F50" i="1"/>
  <c r="G50" i="1" s="1"/>
  <c r="F834" i="1"/>
  <c r="G834" i="1" s="1"/>
  <c r="F348" i="1"/>
  <c r="G348" i="1" s="1"/>
  <c r="F156" i="1"/>
  <c r="G156" i="1" s="1"/>
  <c r="F350" i="1"/>
  <c r="G350" i="1" s="1"/>
  <c r="F158" i="1"/>
  <c r="G158" i="1" s="1"/>
  <c r="F352" i="1"/>
  <c r="G352" i="1" s="1"/>
  <c r="F160" i="1"/>
  <c r="G160" i="1" s="1"/>
  <c r="F354" i="1"/>
  <c r="G354" i="1" s="1"/>
  <c r="F162" i="1"/>
  <c r="G162" i="1" s="1"/>
  <c r="F164" i="1"/>
  <c r="G164" i="1" s="1"/>
  <c r="F166" i="1"/>
  <c r="G166" i="1" s="1"/>
  <c r="F510" i="1"/>
  <c r="G510" i="1" s="1"/>
  <c r="F698" i="1"/>
  <c r="G698" i="1" s="1"/>
  <c r="F700" i="1"/>
  <c r="G700" i="1" s="1"/>
  <c r="F52" i="1"/>
  <c r="G52" i="1" s="1"/>
  <c r="F836" i="1"/>
  <c r="G836" i="1" s="1"/>
  <c r="F702" i="1"/>
  <c r="G702" i="1" s="1"/>
  <c r="F168" i="1"/>
  <c r="G168" i="1" s="1"/>
  <c r="F170" i="1"/>
  <c r="G170" i="1" s="1"/>
  <c r="F172" i="1"/>
  <c r="G172" i="1" s="1"/>
  <c r="F174" i="1"/>
  <c r="G174" i="1" s="1"/>
  <c r="F176" i="1"/>
  <c r="G176" i="1" s="1"/>
  <c r="F178" i="1"/>
  <c r="G178" i="1" s="1"/>
  <c r="F180" i="1"/>
  <c r="G180" i="1" s="1"/>
  <c r="F356" i="1"/>
  <c r="G356" i="1" s="1"/>
  <c r="F358" i="1"/>
  <c r="G358" i="1" s="1"/>
  <c r="F360" i="1"/>
  <c r="G360" i="1" s="1"/>
  <c r="F704" i="1"/>
  <c r="G704" i="1" s="1"/>
  <c r="F362" i="1"/>
  <c r="G362" i="1" s="1"/>
  <c r="F364" i="1"/>
  <c r="G364" i="1" s="1"/>
  <c r="F512" i="1"/>
  <c r="G512" i="1" s="1"/>
  <c r="F514" i="1"/>
  <c r="G514" i="1" s="1"/>
  <c r="F516" i="1"/>
  <c r="G516" i="1" s="1"/>
  <c r="F518" i="1"/>
  <c r="G518" i="1" s="1"/>
  <c r="F520" i="1"/>
  <c r="G520" i="1" s="1"/>
  <c r="F522" i="1"/>
  <c r="G522" i="1" s="1"/>
  <c r="F524" i="1"/>
  <c r="G524" i="1" s="1"/>
  <c r="F706" i="1"/>
  <c r="G706" i="1" s="1"/>
  <c r="F708" i="1"/>
  <c r="G708" i="1" s="1"/>
  <c r="F104" i="1"/>
  <c r="G104" i="1" s="1"/>
  <c r="F54" i="1"/>
  <c r="G54" i="1" s="1"/>
  <c r="F56" i="1"/>
  <c r="G56" i="1" s="1"/>
  <c r="F710" i="1"/>
  <c r="G710" i="1" s="1"/>
  <c r="F712" i="1"/>
  <c r="G712" i="1" s="1"/>
  <c r="F526" i="1"/>
  <c r="G526" i="1" s="1"/>
  <c r="F528" i="1"/>
  <c r="G528" i="1" s="1"/>
  <c r="F530" i="1"/>
  <c r="G530" i="1" s="1"/>
  <c r="F532" i="1"/>
  <c r="G532" i="1" s="1"/>
  <c r="F714" i="1"/>
  <c r="G714" i="1" s="1"/>
  <c r="F182" i="1"/>
  <c r="G182" i="1" s="1"/>
  <c r="F184" i="1"/>
  <c r="G184" i="1" s="1"/>
  <c r="F186" i="1"/>
  <c r="G186" i="1" s="1"/>
  <c r="F188" i="1"/>
  <c r="G188" i="1" s="1"/>
  <c r="F190" i="1"/>
  <c r="G190" i="1" s="1"/>
  <c r="F192" i="1"/>
  <c r="G192" i="1" s="1"/>
  <c r="F194" i="1"/>
  <c r="G194" i="1" s="1"/>
  <c r="F716" i="1"/>
  <c r="G716" i="1" s="1"/>
  <c r="F534" i="1"/>
  <c r="G534" i="1" s="1"/>
  <c r="F536" i="1"/>
  <c r="G536" i="1" s="1"/>
  <c r="F538" i="1"/>
  <c r="G538" i="1" s="1"/>
  <c r="F540" i="1"/>
  <c r="G540" i="1" s="1"/>
  <c r="F366" i="1"/>
  <c r="G366" i="1" s="1"/>
  <c r="F368" i="1"/>
  <c r="G368" i="1" s="1"/>
  <c r="F370" i="1"/>
  <c r="G370" i="1" s="1"/>
  <c r="F372" i="1"/>
  <c r="G372" i="1" s="1"/>
  <c r="F58" i="1"/>
  <c r="G58" i="1" s="1"/>
  <c r="F542" i="1"/>
  <c r="G542" i="1" s="1"/>
  <c r="F544" i="1"/>
  <c r="G544" i="1" s="1"/>
  <c r="F546" i="1"/>
  <c r="G546" i="1" s="1"/>
  <c r="F374" i="1"/>
  <c r="G374" i="1" s="1"/>
  <c r="F376" i="1"/>
  <c r="G376" i="1" s="1"/>
  <c r="F718" i="1"/>
  <c r="G718" i="1" s="1"/>
  <c r="F720" i="1"/>
  <c r="G720" i="1" s="1"/>
  <c r="F60" i="1"/>
  <c r="G60" i="1" s="1"/>
  <c r="F106" i="1"/>
  <c r="G106" i="1" s="1"/>
  <c r="F722" i="1"/>
  <c r="G722" i="1" s="1"/>
  <c r="F838" i="1"/>
  <c r="G838" i="1" s="1"/>
  <c r="F62" i="1"/>
  <c r="G62" i="1" s="1"/>
  <c r="F196" i="1"/>
  <c r="G196" i="1" s="1"/>
  <c r="F378" i="1"/>
  <c r="G378" i="1" s="1"/>
  <c r="F380" i="1"/>
  <c r="G380" i="1" s="1"/>
  <c r="F382" i="1"/>
  <c r="G382" i="1" s="1"/>
  <c r="F198" i="1"/>
  <c r="G198" i="1" s="1"/>
  <c r="F200" i="1"/>
  <c r="G200" i="1" s="1"/>
  <c r="F202" i="1"/>
  <c r="G202" i="1" s="1"/>
  <c r="F204" i="1"/>
  <c r="G204" i="1" s="1"/>
  <c r="F206" i="1"/>
  <c r="G206" i="1" s="1"/>
  <c r="F724" i="1"/>
  <c r="G724" i="1" s="1"/>
  <c r="F548" i="1"/>
  <c r="G548" i="1" s="1"/>
  <c r="F550" i="1"/>
  <c r="G550" i="1" s="1"/>
  <c r="F552" i="1"/>
  <c r="G552" i="1" s="1"/>
  <c r="F554" i="1"/>
  <c r="G554" i="1" s="1"/>
  <c r="F726" i="1"/>
  <c r="G726" i="1" s="1"/>
  <c r="F64" i="1"/>
  <c r="G64" i="1" s="1"/>
  <c r="F728" i="1"/>
  <c r="G728" i="1" s="1"/>
  <c r="F730" i="1"/>
  <c r="G730" i="1" s="1"/>
  <c r="F840" i="1"/>
  <c r="G840" i="1" s="1"/>
  <c r="F732" i="1"/>
  <c r="G732" i="1" s="1"/>
  <c r="F734" i="1"/>
  <c r="G734" i="1" s="1"/>
  <c r="F208" i="1"/>
  <c r="G208" i="1" s="1"/>
  <c r="F210" i="1"/>
  <c r="G210" i="1" s="1"/>
  <c r="F212" i="1"/>
  <c r="G212" i="1" s="1"/>
  <c r="F214" i="1"/>
  <c r="G214" i="1" s="1"/>
  <c r="F216" i="1"/>
  <c r="G216" i="1" s="1"/>
  <c r="F218" i="1"/>
  <c r="G218" i="1" s="1"/>
  <c r="F220" i="1"/>
  <c r="G220" i="1" s="1"/>
  <c r="F384" i="1"/>
  <c r="G384" i="1" s="1"/>
  <c r="F386" i="1"/>
  <c r="G386" i="1" s="1"/>
  <c r="F388" i="1"/>
  <c r="G388" i="1" s="1"/>
  <c r="F736" i="1"/>
  <c r="G736" i="1" s="1"/>
  <c r="F66" i="1"/>
  <c r="G66" i="1" s="1"/>
  <c r="F390" i="1"/>
  <c r="G390" i="1" s="1"/>
  <c r="F556" i="1"/>
  <c r="G556" i="1" s="1"/>
  <c r="F558" i="1"/>
  <c r="G558" i="1" s="1"/>
  <c r="F560" i="1"/>
  <c r="G560" i="1" s="1"/>
  <c r="F68" i="1"/>
  <c r="G68" i="1" s="1"/>
  <c r="F562" i="1"/>
  <c r="G562" i="1" s="1"/>
  <c r="F70" i="1"/>
  <c r="G70" i="1" s="1"/>
  <c r="F564" i="1"/>
  <c r="G564" i="1" s="1"/>
  <c r="F72" i="1"/>
  <c r="G72" i="1" s="1"/>
  <c r="F566" i="1"/>
  <c r="G566" i="1" s="1"/>
  <c r="F222" i="1"/>
  <c r="G222" i="1" s="1"/>
  <c r="F224" i="1"/>
  <c r="G224" i="1" s="1"/>
  <c r="F226" i="1"/>
  <c r="G226" i="1" s="1"/>
  <c r="F228" i="1"/>
  <c r="G228" i="1" s="1"/>
  <c r="F230" i="1"/>
  <c r="G230" i="1" s="1"/>
  <c r="F232" i="1"/>
  <c r="G232" i="1" s="1"/>
  <c r="F738" i="1"/>
  <c r="G738" i="1" s="1"/>
  <c r="F842" i="1"/>
  <c r="G842" i="1" s="1"/>
  <c r="F740" i="1"/>
  <c r="G740" i="1" s="1"/>
  <c r="F742" i="1"/>
  <c r="G742" i="1" s="1"/>
  <c r="F74" i="1"/>
  <c r="G74" i="1" s="1"/>
  <c r="F568" i="1"/>
  <c r="G568" i="1" s="1"/>
  <c r="F392" i="1"/>
  <c r="G392" i="1" s="1"/>
  <c r="F394" i="1"/>
  <c r="G394" i="1" s="1"/>
  <c r="F744" i="1"/>
  <c r="G744" i="1" s="1"/>
  <c r="F396" i="1"/>
  <c r="G396" i="1" s="1"/>
  <c r="F398" i="1"/>
  <c r="G398" i="1" s="1"/>
  <c r="F400" i="1"/>
  <c r="G400" i="1" s="1"/>
  <c r="F234" i="1"/>
  <c r="G234" i="1" s="1"/>
  <c r="F746" i="1"/>
  <c r="G746" i="1" s="1"/>
  <c r="F748" i="1"/>
  <c r="G748" i="1" s="1"/>
  <c r="F570" i="1"/>
  <c r="G570" i="1" s="1"/>
  <c r="F572" i="1"/>
  <c r="G572" i="1" s="1"/>
  <c r="F574" i="1"/>
  <c r="G574" i="1" s="1"/>
  <c r="F576" i="1"/>
  <c r="G576" i="1" s="1"/>
  <c r="F578" i="1"/>
  <c r="G578" i="1" s="1"/>
  <c r="F580" i="1"/>
  <c r="G580" i="1" s="1"/>
  <c r="F582" i="1"/>
  <c r="G582" i="1" s="1"/>
  <c r="F402" i="1"/>
  <c r="G402" i="1" s="1"/>
  <c r="F236" i="1"/>
  <c r="G236" i="1" s="1"/>
  <c r="F584" i="1"/>
  <c r="G584" i="1" s="1"/>
  <c r="F404" i="1"/>
  <c r="G404" i="1" s="1"/>
  <c r="F586" i="1"/>
  <c r="G586" i="1" s="1"/>
  <c r="F406" i="1"/>
  <c r="G406" i="1" s="1"/>
  <c r="F588" i="1"/>
  <c r="G588" i="1" s="1"/>
  <c r="F590" i="1"/>
  <c r="G590" i="1" s="1"/>
  <c r="F592" i="1"/>
  <c r="G592" i="1" s="1"/>
  <c r="F750" i="1"/>
  <c r="G750" i="1" s="1"/>
  <c r="F752" i="1"/>
  <c r="G752" i="1" s="1"/>
  <c r="F754" i="1"/>
  <c r="G754" i="1" s="1"/>
  <c r="F594" i="1"/>
  <c r="G594" i="1" s="1"/>
  <c r="F238" i="1"/>
  <c r="G238" i="1" s="1"/>
  <c r="F596" i="1"/>
  <c r="G596" i="1" s="1"/>
  <c r="F598" i="1"/>
  <c r="G598" i="1" s="1"/>
  <c r="F600" i="1"/>
  <c r="G600" i="1" s="1"/>
  <c r="F602" i="1"/>
  <c r="G602" i="1" s="1"/>
  <c r="F604" i="1"/>
  <c r="G604" i="1" s="1"/>
  <c r="F408" i="1"/>
  <c r="G408" i="1" s="1"/>
  <c r="F410" i="1"/>
  <c r="G410" i="1" s="1"/>
  <c r="F412" i="1"/>
  <c r="G412" i="1" s="1"/>
  <c r="F756" i="1"/>
  <c r="G756" i="1" s="1"/>
  <c r="F414" i="1"/>
  <c r="G414" i="1" s="1"/>
  <c r="F240" i="1"/>
  <c r="G240" i="1" s="1"/>
  <c r="F416" i="1"/>
  <c r="G416" i="1" s="1"/>
  <c r="F418" i="1"/>
  <c r="G418" i="1" s="1"/>
  <c r="F420" i="1"/>
  <c r="G420" i="1" s="1"/>
  <c r="F242" i="1"/>
  <c r="G242" i="1" s="1"/>
  <c r="F244" i="1"/>
  <c r="G244" i="1" s="1"/>
  <c r="F76" i="1"/>
  <c r="G76" i="1" s="1"/>
  <c r="F246" i="1"/>
  <c r="G246" i="1" s="1"/>
  <c r="F248" i="1"/>
  <c r="G248" i="1" s="1"/>
  <c r="F250" i="1"/>
  <c r="G250" i="1" s="1"/>
  <c r="F844" i="1"/>
  <c r="G844" i="1" s="1"/>
  <c r="F252" i="1"/>
  <c r="G252" i="1" s="1"/>
  <c r="F846" i="1"/>
  <c r="G846" i="1" s="1"/>
  <c r="F848" i="1"/>
  <c r="G848" i="1" s="1"/>
  <c r="F758" i="1"/>
  <c r="G758" i="1" s="1"/>
  <c r="F760" i="1"/>
  <c r="G760" i="1" s="1"/>
  <c r="F850" i="1"/>
  <c r="G850" i="1" s="1"/>
  <c r="F422" i="1"/>
  <c r="G422" i="1" s="1"/>
  <c r="F424" i="1"/>
  <c r="G424" i="1" s="1"/>
  <c r="F78" i="1"/>
  <c r="G78" i="1" s="1"/>
  <c r="F80" i="1"/>
  <c r="G80" i="1" s="1"/>
  <c r="F426" i="1"/>
  <c r="G426" i="1" s="1"/>
  <c r="F428" i="1"/>
  <c r="G428" i="1" s="1"/>
  <c r="F762" i="1"/>
  <c r="G762" i="1" s="1"/>
  <c r="F430" i="1"/>
  <c r="G430" i="1" s="1"/>
  <c r="F606" i="1"/>
  <c r="G606" i="1" s="1"/>
  <c r="F608" i="1"/>
  <c r="G608" i="1" s="1"/>
  <c r="F610" i="1"/>
  <c r="G610" i="1" s="1"/>
  <c r="F612" i="1"/>
  <c r="G612" i="1" s="1"/>
  <c r="F82" i="1"/>
  <c r="G82" i="1" s="1"/>
  <c r="F764" i="1"/>
  <c r="G764" i="1" s="1"/>
  <c r="F766" i="1"/>
  <c r="G766" i="1" s="1"/>
  <c r="F768" i="1"/>
  <c r="G768" i="1" s="1"/>
  <c r="F770" i="1"/>
  <c r="G770" i="1" s="1"/>
  <c r="F614" i="1"/>
  <c r="G614" i="1" s="1"/>
  <c r="F84" i="1"/>
  <c r="G84" i="1" s="1"/>
  <c r="F616" i="1"/>
  <c r="G616" i="1" s="1"/>
  <c r="F772" i="1"/>
  <c r="G772" i="1" s="1"/>
  <c r="F618" i="1"/>
  <c r="G618" i="1" s="1"/>
  <c r="F620" i="1"/>
  <c r="G620" i="1" s="1"/>
  <c r="F622" i="1"/>
  <c r="G622" i="1" s="1"/>
  <c r="F254" i="1"/>
  <c r="G254" i="1" s="1"/>
  <c r="F624" i="1"/>
  <c r="G624" i="1" s="1"/>
  <c r="F86" i="1"/>
  <c r="G86" i="1" s="1"/>
  <c r="F432" i="1"/>
  <c r="G432" i="1" s="1"/>
  <c r="F774" i="1"/>
  <c r="G774" i="1" s="1"/>
  <c r="F434" i="1"/>
  <c r="G434" i="1" s="1"/>
  <c r="F436" i="1"/>
  <c r="G436" i="1" s="1"/>
  <c r="F256" i="1"/>
  <c r="G256" i="1" s="1"/>
  <c r="F258" i="1"/>
  <c r="G258" i="1" s="1"/>
  <c r="F438" i="1"/>
  <c r="G438" i="1" s="1"/>
  <c r="F260" i="1"/>
  <c r="G260" i="1" s="1"/>
  <c r="F262" i="1"/>
  <c r="G262" i="1" s="1"/>
  <c r="F264" i="1"/>
  <c r="G264" i="1" s="1"/>
  <c r="F852" i="1"/>
  <c r="G852" i="1" s="1"/>
  <c r="F854" i="1"/>
  <c r="G854" i="1" s="1"/>
  <c r="F776" i="1"/>
  <c r="G776" i="1" s="1"/>
  <c r="F856" i="1"/>
  <c r="G856" i="1" s="1"/>
  <c r="F778" i="1"/>
  <c r="G778" i="1" s="1"/>
  <c r="F780" i="1"/>
  <c r="G780" i="1" s="1"/>
  <c r="F782" i="1"/>
  <c r="G782" i="1" s="1"/>
  <c r="F626" i="1"/>
  <c r="G626" i="1" s="1"/>
  <c r="F628" i="1"/>
  <c r="G628" i="1" s="1"/>
  <c r="F88" i="1"/>
  <c r="G88" i="1" s="1"/>
  <c r="F440" i="1"/>
  <c r="G440" i="1" s="1"/>
  <c r="F442" i="1"/>
  <c r="G442" i="1" s="1"/>
  <c r="F444" i="1"/>
  <c r="G444" i="1" s="1"/>
  <c r="F90" i="1"/>
  <c r="G90" i="1" s="1"/>
  <c r="F858" i="1"/>
  <c r="G858" i="1" s="1"/>
  <c r="F784" i="1"/>
  <c r="G784" i="1" s="1"/>
  <c r="F786" i="1"/>
  <c r="G786" i="1" s="1"/>
  <c r="F630" i="1"/>
  <c r="G630" i="1" s="1"/>
  <c r="F92" i="1"/>
  <c r="G92" i="1" s="1"/>
  <c r="F632" i="1"/>
  <c r="G632" i="1" s="1"/>
  <c r="F788" i="1"/>
  <c r="G788" i="1" s="1"/>
  <c r="F790" i="1"/>
  <c r="G790" i="1" s="1"/>
  <c r="F634" i="1"/>
  <c r="G634" i="1" s="1"/>
  <c r="F792" i="1"/>
  <c r="G792" i="1" s="1"/>
  <c r="F266" i="1"/>
  <c r="G266" i="1" s="1"/>
  <c r="F446" i="1"/>
  <c r="G446" i="1" s="1"/>
  <c r="F448" i="1"/>
  <c r="G448" i="1" s="1"/>
  <c r="F794" i="1"/>
  <c r="G794" i="1" s="1"/>
  <c r="F450" i="1"/>
  <c r="G450" i="1" s="1"/>
  <c r="F452" i="1"/>
  <c r="G452" i="1" s="1"/>
  <c r="F860" i="1"/>
  <c r="G860" i="1" s="1"/>
  <c r="F268" i="1"/>
  <c r="G268" i="1" s="1"/>
  <c r="F270" i="1"/>
  <c r="G270" i="1" s="1"/>
  <c r="F272" i="1"/>
  <c r="G272" i="1" s="1"/>
  <c r="F274" i="1"/>
  <c r="G274" i="1" s="1"/>
  <c r="F276" i="1"/>
  <c r="G276" i="1" s="1"/>
  <c r="F278" i="1"/>
  <c r="G278" i="1" s="1"/>
  <c r="F94" i="1"/>
  <c r="G94" i="1" s="1"/>
  <c r="F796" i="1"/>
  <c r="G796" i="1" s="1"/>
  <c r="F798" i="1"/>
  <c r="G798" i="1" s="1"/>
  <c r="F862" i="1"/>
  <c r="G862" i="1" s="1"/>
  <c r="F864" i="1"/>
  <c r="G864" i="1" s="1"/>
  <c r="F866" i="1"/>
  <c r="G866" i="1" s="1"/>
  <c r="F280" i="1"/>
  <c r="G280" i="1" s="1"/>
  <c r="F282" i="1"/>
  <c r="G282" i="1" s="1"/>
  <c r="F284" i="1"/>
  <c r="G284" i="1" s="1"/>
  <c r="F286" i="1"/>
  <c r="G286" i="1" s="1"/>
  <c r="F288" i="1"/>
  <c r="G288" i="1" s="1"/>
  <c r="F96" i="1"/>
  <c r="G96" i="1" s="1"/>
  <c r="F290" i="1"/>
  <c r="G290" i="1" s="1"/>
  <c r="F454" i="1"/>
  <c r="G454" i="1" s="1"/>
  <c r="F98" i="1"/>
  <c r="G98" i="1" s="1"/>
  <c r="F100" i="1"/>
  <c r="G100" i="1" s="1"/>
  <c r="F456" i="1"/>
  <c r="G456" i="1" s="1"/>
  <c r="F800" i="1"/>
  <c r="G800" i="1" s="1"/>
  <c r="F802" i="1"/>
  <c r="G802" i="1" s="1"/>
  <c r="F102" i="1"/>
  <c r="G102" i="1" s="1"/>
  <c r="F2" i="1"/>
  <c r="G2" i="1" s="1"/>
  <c r="G954" i="1"/>
  <c r="G1115" i="1"/>
  <c r="G1291" i="1"/>
  <c r="G1471" i="1"/>
  <c r="F950" i="1"/>
  <c r="G950" i="1" s="1"/>
  <c r="F951" i="1"/>
  <c r="G951" i="1" s="1"/>
  <c r="F952" i="1"/>
  <c r="G952" i="1" s="1"/>
  <c r="F953" i="1"/>
  <c r="G953" i="1" s="1"/>
  <c r="F955" i="1"/>
  <c r="G955" i="1" s="1"/>
  <c r="F956" i="1"/>
  <c r="G956" i="1" s="1"/>
  <c r="F957" i="1"/>
  <c r="G957" i="1" s="1"/>
  <c r="F958" i="1"/>
  <c r="G958" i="1" s="1"/>
  <c r="F959" i="1"/>
  <c r="G959" i="1" s="1"/>
  <c r="F960" i="1"/>
  <c r="G960" i="1" s="1"/>
  <c r="F961" i="1"/>
  <c r="G961" i="1" s="1"/>
  <c r="F962" i="1"/>
  <c r="G962" i="1" s="1"/>
  <c r="F963" i="1"/>
  <c r="G963" i="1" s="1"/>
  <c r="F964" i="1"/>
  <c r="G964" i="1" s="1"/>
  <c r="F965" i="1"/>
  <c r="G965" i="1" s="1"/>
  <c r="F966" i="1"/>
  <c r="G966" i="1" s="1"/>
  <c r="F967" i="1"/>
  <c r="G967" i="1" s="1"/>
  <c r="F968" i="1"/>
  <c r="G968" i="1" s="1"/>
  <c r="F969" i="1"/>
  <c r="G969" i="1" s="1"/>
  <c r="F970" i="1"/>
  <c r="G970" i="1" s="1"/>
  <c r="F971" i="1"/>
  <c r="G971" i="1" s="1"/>
  <c r="F972" i="1"/>
  <c r="G972" i="1" s="1"/>
  <c r="F973" i="1"/>
  <c r="G973" i="1" s="1"/>
  <c r="F974" i="1"/>
  <c r="G974" i="1" s="1"/>
  <c r="F975" i="1"/>
  <c r="G975" i="1" s="1"/>
  <c r="F976" i="1"/>
  <c r="G976" i="1" s="1"/>
  <c r="F977" i="1"/>
  <c r="G977" i="1" s="1"/>
  <c r="F978" i="1"/>
  <c r="G978" i="1" s="1"/>
  <c r="F979" i="1"/>
  <c r="G979" i="1" s="1"/>
  <c r="F980" i="1"/>
  <c r="G980" i="1" s="1"/>
  <c r="F981" i="1"/>
  <c r="G981" i="1" s="1"/>
  <c r="F982" i="1"/>
  <c r="G982" i="1" s="1"/>
  <c r="F983" i="1"/>
  <c r="G983" i="1" s="1"/>
  <c r="F984" i="1"/>
  <c r="G984" i="1" s="1"/>
  <c r="F985" i="1"/>
  <c r="G985" i="1" s="1"/>
  <c r="F986" i="1"/>
  <c r="G986" i="1" s="1"/>
  <c r="F987" i="1"/>
  <c r="G987" i="1" s="1"/>
  <c r="F988" i="1"/>
  <c r="G988" i="1" s="1"/>
  <c r="F989" i="1"/>
  <c r="G989" i="1" s="1"/>
  <c r="F990" i="1"/>
  <c r="G990" i="1" s="1"/>
  <c r="F991" i="1"/>
  <c r="G991" i="1" s="1"/>
  <c r="F992" i="1"/>
  <c r="G992" i="1" s="1"/>
  <c r="F993" i="1"/>
  <c r="G993" i="1" s="1"/>
  <c r="F994" i="1"/>
  <c r="G994" i="1" s="1"/>
  <c r="F995" i="1"/>
  <c r="G995" i="1" s="1"/>
  <c r="F996" i="1"/>
  <c r="G996" i="1" s="1"/>
  <c r="F997" i="1"/>
  <c r="G997" i="1" s="1"/>
  <c r="F998" i="1"/>
  <c r="G998" i="1" s="1"/>
  <c r="F999" i="1"/>
  <c r="G999" i="1" s="1"/>
  <c r="F1000" i="1"/>
  <c r="G1000" i="1" s="1"/>
  <c r="F1001" i="1"/>
  <c r="G1001" i="1" s="1"/>
  <c r="F1002" i="1"/>
  <c r="G1002" i="1" s="1"/>
  <c r="F1003" i="1"/>
  <c r="G1003" i="1" s="1"/>
  <c r="F1004" i="1"/>
  <c r="G1004" i="1" s="1"/>
  <c r="F1005" i="1"/>
  <c r="G1005" i="1" s="1"/>
  <c r="F1006" i="1"/>
  <c r="G1006" i="1" s="1"/>
  <c r="F1007" i="1"/>
  <c r="G1007" i="1" s="1"/>
  <c r="F1008" i="1"/>
  <c r="G1008" i="1" s="1"/>
  <c r="F1009" i="1"/>
  <c r="G1009" i="1" s="1"/>
  <c r="F1010" i="1"/>
  <c r="G1010" i="1" s="1"/>
  <c r="F1011" i="1"/>
  <c r="G1011" i="1" s="1"/>
  <c r="F1012" i="1"/>
  <c r="G1012" i="1" s="1"/>
  <c r="F1013" i="1"/>
  <c r="G1013" i="1" s="1"/>
  <c r="F1014" i="1"/>
  <c r="G1014" i="1" s="1"/>
  <c r="F1015" i="1"/>
  <c r="G1015" i="1" s="1"/>
  <c r="F1016" i="1"/>
  <c r="G1016" i="1" s="1"/>
  <c r="F1017" i="1"/>
  <c r="G1017" i="1" s="1"/>
  <c r="F1018" i="1"/>
  <c r="G1018" i="1" s="1"/>
  <c r="F1019" i="1"/>
  <c r="G1019" i="1" s="1"/>
  <c r="F1110" i="1"/>
  <c r="G1110" i="1" s="1"/>
  <c r="F1111" i="1"/>
  <c r="G1111" i="1" s="1"/>
  <c r="F1112" i="1"/>
  <c r="G1112" i="1" s="1"/>
  <c r="F1113" i="1"/>
  <c r="G1113" i="1" s="1"/>
  <c r="F1114" i="1"/>
  <c r="G1114" i="1" s="1"/>
  <c r="F1116" i="1"/>
  <c r="G1116" i="1" s="1"/>
  <c r="F1117" i="1"/>
  <c r="G1117" i="1" s="1"/>
  <c r="F1118" i="1"/>
  <c r="G1118" i="1" s="1"/>
  <c r="F1119" i="1"/>
  <c r="G1119" i="1" s="1"/>
  <c r="F1120" i="1"/>
  <c r="G1120" i="1" s="1"/>
  <c r="F1121" i="1"/>
  <c r="G1121" i="1" s="1"/>
  <c r="F1122" i="1"/>
  <c r="G1122" i="1" s="1"/>
  <c r="F1123" i="1"/>
  <c r="G1123" i="1" s="1"/>
  <c r="F1124" i="1"/>
  <c r="G1124" i="1" s="1"/>
  <c r="F1125" i="1"/>
  <c r="G1125" i="1" s="1"/>
  <c r="F1126" i="1"/>
  <c r="G1126" i="1" s="1"/>
  <c r="F1127" i="1"/>
  <c r="G1127" i="1" s="1"/>
  <c r="F1128" i="1"/>
  <c r="G1128" i="1" s="1"/>
  <c r="F1129" i="1"/>
  <c r="G1129" i="1" s="1"/>
  <c r="F1130" i="1"/>
  <c r="G1130" i="1" s="1"/>
  <c r="F1131" i="1"/>
  <c r="G1131" i="1" s="1"/>
  <c r="F1132" i="1"/>
  <c r="G1132" i="1" s="1"/>
  <c r="F1133" i="1"/>
  <c r="G1133" i="1" s="1"/>
  <c r="F1134" i="1"/>
  <c r="G1134" i="1" s="1"/>
  <c r="F1135" i="1"/>
  <c r="G1135" i="1" s="1"/>
  <c r="F1136" i="1"/>
  <c r="G1136" i="1" s="1"/>
  <c r="F1137" i="1"/>
  <c r="G1137" i="1" s="1"/>
  <c r="F1138" i="1"/>
  <c r="G1138" i="1" s="1"/>
  <c r="F1139" i="1"/>
  <c r="G1139" i="1" s="1"/>
  <c r="F1140" i="1"/>
  <c r="G1140" i="1" s="1"/>
  <c r="F1141" i="1"/>
  <c r="G1141" i="1" s="1"/>
  <c r="F1142" i="1"/>
  <c r="G1142" i="1" s="1"/>
  <c r="F1143" i="1"/>
  <c r="G1143" i="1" s="1"/>
  <c r="F1144" i="1"/>
  <c r="G1144" i="1" s="1"/>
  <c r="F1145" i="1"/>
  <c r="G1145" i="1" s="1"/>
  <c r="F1146" i="1"/>
  <c r="G1146" i="1" s="1"/>
  <c r="F1147" i="1"/>
  <c r="G1147" i="1" s="1"/>
  <c r="F1148" i="1"/>
  <c r="G1148" i="1" s="1"/>
  <c r="F1149" i="1"/>
  <c r="G1149" i="1" s="1"/>
  <c r="F1150" i="1"/>
  <c r="G1150" i="1" s="1"/>
  <c r="F1151" i="1"/>
  <c r="G1151" i="1" s="1"/>
  <c r="F1152" i="1"/>
  <c r="G1152" i="1" s="1"/>
  <c r="F1153" i="1"/>
  <c r="G1153" i="1" s="1"/>
  <c r="F1154" i="1"/>
  <c r="G1154" i="1" s="1"/>
  <c r="F1155" i="1"/>
  <c r="G1155" i="1" s="1"/>
  <c r="F1156" i="1"/>
  <c r="G1156" i="1" s="1"/>
  <c r="F1157" i="1"/>
  <c r="G1157" i="1" s="1"/>
  <c r="F1158" i="1"/>
  <c r="G1158" i="1" s="1"/>
  <c r="F1159" i="1"/>
  <c r="G1159" i="1" s="1"/>
  <c r="F1160" i="1"/>
  <c r="G1160" i="1" s="1"/>
  <c r="F1161" i="1"/>
  <c r="G1161" i="1" s="1"/>
  <c r="F1162" i="1"/>
  <c r="G1162" i="1" s="1"/>
  <c r="F1163" i="1"/>
  <c r="G1163" i="1" s="1"/>
  <c r="F1164" i="1"/>
  <c r="G1164" i="1" s="1"/>
  <c r="F1165" i="1"/>
  <c r="G1165" i="1" s="1"/>
  <c r="F1166" i="1"/>
  <c r="G1166" i="1" s="1"/>
  <c r="F1167" i="1"/>
  <c r="G1167" i="1" s="1"/>
  <c r="F1168" i="1"/>
  <c r="G1168" i="1" s="1"/>
  <c r="F1169" i="1"/>
  <c r="G1169" i="1" s="1"/>
  <c r="F1170" i="1"/>
  <c r="G1170" i="1" s="1"/>
  <c r="F1171" i="1"/>
  <c r="G1171" i="1" s="1"/>
  <c r="F1172" i="1"/>
  <c r="G1172" i="1" s="1"/>
  <c r="F1173" i="1"/>
  <c r="G1173" i="1" s="1"/>
  <c r="F1174" i="1"/>
  <c r="G1174" i="1" s="1"/>
  <c r="F1175" i="1"/>
  <c r="G1175" i="1" s="1"/>
  <c r="F1176" i="1"/>
  <c r="G1176" i="1" s="1"/>
  <c r="F1177" i="1"/>
  <c r="G1177" i="1" s="1"/>
  <c r="F1178" i="1"/>
  <c r="G1178" i="1" s="1"/>
  <c r="F1179" i="1"/>
  <c r="G1179" i="1" s="1"/>
  <c r="F1180" i="1"/>
  <c r="G1180" i="1" s="1"/>
  <c r="F1181" i="1"/>
  <c r="G1181" i="1" s="1"/>
  <c r="F1182" i="1"/>
  <c r="G1182" i="1" s="1"/>
  <c r="F1183" i="1"/>
  <c r="G1183" i="1" s="1"/>
  <c r="F1184" i="1"/>
  <c r="G1184" i="1" s="1"/>
  <c r="F1185" i="1"/>
  <c r="G1185" i="1" s="1"/>
  <c r="F1186" i="1"/>
  <c r="G1186" i="1" s="1"/>
  <c r="F1187" i="1"/>
  <c r="G1187" i="1" s="1"/>
  <c r="F1188" i="1"/>
  <c r="G1188" i="1" s="1"/>
  <c r="F1189" i="1"/>
  <c r="G1189" i="1" s="1"/>
  <c r="F1190" i="1"/>
  <c r="G1190" i="1" s="1"/>
  <c r="F1191" i="1"/>
  <c r="G1191" i="1" s="1"/>
  <c r="F1192" i="1"/>
  <c r="G1192" i="1" s="1"/>
  <c r="F1193" i="1"/>
  <c r="G1193" i="1" s="1"/>
  <c r="F1194" i="1"/>
  <c r="G1194" i="1" s="1"/>
  <c r="F1195" i="1"/>
  <c r="G1195" i="1" s="1"/>
  <c r="F1196" i="1"/>
  <c r="G1196" i="1" s="1"/>
  <c r="F1197" i="1"/>
  <c r="G1197" i="1" s="1"/>
  <c r="F1198" i="1"/>
  <c r="G1198" i="1" s="1"/>
  <c r="F1199" i="1"/>
  <c r="G1199" i="1" s="1"/>
  <c r="F1287" i="1"/>
  <c r="G1287" i="1" s="1"/>
  <c r="F1288" i="1"/>
  <c r="G1288" i="1" s="1"/>
  <c r="F1289" i="1"/>
  <c r="G1289" i="1" s="1"/>
  <c r="F1290" i="1"/>
  <c r="G1290" i="1" s="1"/>
  <c r="F1292" i="1"/>
  <c r="G1292" i="1" s="1"/>
  <c r="F1293" i="1"/>
  <c r="G1293" i="1" s="1"/>
  <c r="F1294" i="1"/>
  <c r="G1294" i="1" s="1"/>
  <c r="F1295" i="1"/>
  <c r="G1295" i="1" s="1"/>
  <c r="F1296" i="1"/>
  <c r="G1296" i="1" s="1"/>
  <c r="F1298" i="1"/>
  <c r="G1298" i="1" s="1"/>
  <c r="F1299" i="1"/>
  <c r="G1299" i="1" s="1"/>
  <c r="F1300" i="1"/>
  <c r="G1300" i="1" s="1"/>
  <c r="F1301" i="1"/>
  <c r="G1301" i="1" s="1"/>
  <c r="F1302" i="1"/>
  <c r="G1302" i="1" s="1"/>
  <c r="F1303" i="1"/>
  <c r="G1303" i="1" s="1"/>
  <c r="F1304" i="1"/>
  <c r="G1304" i="1" s="1"/>
  <c r="F1305" i="1"/>
  <c r="G1305" i="1" s="1"/>
  <c r="F1306" i="1"/>
  <c r="G1306" i="1" s="1"/>
  <c r="F1307" i="1"/>
  <c r="G1307" i="1" s="1"/>
  <c r="F1308" i="1"/>
  <c r="G1308" i="1" s="1"/>
  <c r="F1309" i="1"/>
  <c r="G1309" i="1" s="1"/>
  <c r="F1310" i="1"/>
  <c r="G1310" i="1" s="1"/>
  <c r="F1311" i="1"/>
  <c r="G1311" i="1" s="1"/>
  <c r="F1312" i="1"/>
  <c r="G1312" i="1" s="1"/>
  <c r="F1313" i="1"/>
  <c r="G1313" i="1" s="1"/>
  <c r="F1314" i="1"/>
  <c r="G1314" i="1" s="1"/>
  <c r="F1315" i="1"/>
  <c r="G1315" i="1" s="1"/>
  <c r="F1316" i="1"/>
  <c r="G1316" i="1" s="1"/>
  <c r="F1317" i="1"/>
  <c r="G1317" i="1" s="1"/>
  <c r="F1318" i="1"/>
  <c r="G1318" i="1" s="1"/>
  <c r="F1319" i="1"/>
  <c r="G1319" i="1" s="1"/>
  <c r="F1320" i="1"/>
  <c r="G1320" i="1" s="1"/>
  <c r="F1321" i="1"/>
  <c r="G1321" i="1" s="1"/>
  <c r="F1322" i="1"/>
  <c r="G1322" i="1" s="1"/>
  <c r="F1323" i="1"/>
  <c r="G1323" i="1" s="1"/>
  <c r="F1324" i="1"/>
  <c r="G1324" i="1" s="1"/>
  <c r="F1325" i="1"/>
  <c r="G1325" i="1" s="1"/>
  <c r="F1326" i="1"/>
  <c r="G1326" i="1" s="1"/>
  <c r="F1327" i="1"/>
  <c r="G1327" i="1" s="1"/>
  <c r="F1328" i="1"/>
  <c r="G1328" i="1" s="1"/>
  <c r="F1329" i="1"/>
  <c r="G1329" i="1" s="1"/>
  <c r="F1330" i="1"/>
  <c r="G1330" i="1" s="1"/>
  <c r="F1331" i="1"/>
  <c r="G1331" i="1" s="1"/>
  <c r="F1332" i="1"/>
  <c r="G1332" i="1" s="1"/>
  <c r="F1333" i="1"/>
  <c r="G1333" i="1" s="1"/>
  <c r="F1334" i="1"/>
  <c r="G1334" i="1" s="1"/>
  <c r="F1335" i="1"/>
  <c r="G1335" i="1" s="1"/>
  <c r="F1336" i="1"/>
  <c r="G1336" i="1" s="1"/>
  <c r="F1337" i="1"/>
  <c r="G1337" i="1" s="1"/>
  <c r="F1338" i="1"/>
  <c r="G1338" i="1" s="1"/>
  <c r="F1339" i="1"/>
  <c r="G1339" i="1" s="1"/>
  <c r="F1340" i="1"/>
  <c r="G1340" i="1" s="1"/>
  <c r="F1341" i="1"/>
  <c r="G1341" i="1" s="1"/>
  <c r="F1342" i="1"/>
  <c r="G1342" i="1" s="1"/>
  <c r="F1343" i="1"/>
  <c r="G1343" i="1" s="1"/>
  <c r="F1344" i="1"/>
  <c r="G1344" i="1" s="1"/>
  <c r="F1345" i="1"/>
  <c r="G1345" i="1" s="1"/>
  <c r="F1346" i="1"/>
  <c r="G1346" i="1" s="1"/>
  <c r="F1347" i="1"/>
  <c r="G1347" i="1" s="1"/>
  <c r="F1348" i="1"/>
  <c r="G1348" i="1" s="1"/>
  <c r="F1349" i="1"/>
  <c r="G1349" i="1" s="1"/>
  <c r="F1350" i="1"/>
  <c r="G1350" i="1" s="1"/>
  <c r="F1351" i="1"/>
  <c r="G1351" i="1" s="1"/>
  <c r="F1352" i="1"/>
  <c r="G1352" i="1" s="1"/>
  <c r="F1353" i="1"/>
  <c r="G1353" i="1" s="1"/>
  <c r="F1354" i="1"/>
  <c r="G1354" i="1" s="1"/>
  <c r="F1355" i="1"/>
  <c r="G1355" i="1" s="1"/>
  <c r="F1356" i="1"/>
  <c r="G1356" i="1" s="1"/>
  <c r="F1357" i="1"/>
  <c r="G1357" i="1" s="1"/>
  <c r="F1358" i="1"/>
  <c r="G1358" i="1" s="1"/>
  <c r="F1359" i="1"/>
  <c r="G1359" i="1" s="1"/>
  <c r="F1360" i="1"/>
  <c r="G1360" i="1" s="1"/>
  <c r="F1361" i="1"/>
  <c r="G1361" i="1" s="1"/>
  <c r="F1362" i="1"/>
  <c r="G1362" i="1" s="1"/>
  <c r="F1363" i="1"/>
  <c r="G1363" i="1" s="1"/>
  <c r="F1364" i="1"/>
  <c r="G1364" i="1" s="1"/>
  <c r="F1365" i="1"/>
  <c r="G1365" i="1" s="1"/>
  <c r="F1366" i="1"/>
  <c r="G1366" i="1" s="1"/>
  <c r="F1367" i="1"/>
  <c r="G1367" i="1" s="1"/>
  <c r="F1368" i="1"/>
  <c r="G1368" i="1" s="1"/>
  <c r="F1369" i="1"/>
  <c r="G1369" i="1" s="1"/>
  <c r="F1370" i="1"/>
  <c r="G1370" i="1" s="1"/>
  <c r="F1371" i="1"/>
  <c r="G1371" i="1" s="1"/>
  <c r="F1372" i="1"/>
  <c r="G1372" i="1" s="1"/>
  <c r="F1373" i="1"/>
  <c r="G1373" i="1" s="1"/>
  <c r="F1466" i="1"/>
  <c r="G1466" i="1" s="1"/>
  <c r="F1467" i="1"/>
  <c r="G1467" i="1" s="1"/>
  <c r="F1468" i="1"/>
  <c r="G1468" i="1" s="1"/>
  <c r="F1469" i="1"/>
  <c r="G1469" i="1" s="1"/>
  <c r="F1470" i="1"/>
  <c r="G1470" i="1" s="1"/>
  <c r="F1505" i="1"/>
  <c r="G1505" i="1" s="1"/>
  <c r="F1472" i="1"/>
  <c r="G1472" i="1" s="1"/>
  <c r="F1473" i="1"/>
  <c r="G1473" i="1" s="1"/>
  <c r="F1474" i="1"/>
  <c r="G1474" i="1" s="1"/>
  <c r="F1475" i="1"/>
  <c r="G1475" i="1" s="1"/>
  <c r="F1476" i="1"/>
  <c r="G1476" i="1" s="1"/>
  <c r="F1477" i="1"/>
  <c r="G1477" i="1" s="1"/>
  <c r="F1478" i="1"/>
  <c r="G1478" i="1" s="1"/>
  <c r="F1479" i="1"/>
  <c r="G1479" i="1" s="1"/>
  <c r="F1480" i="1"/>
  <c r="G1480" i="1" s="1"/>
  <c r="F1481" i="1"/>
  <c r="G1481" i="1" s="1"/>
  <c r="F1482" i="1"/>
  <c r="G1482" i="1" s="1"/>
  <c r="F1483" i="1"/>
  <c r="G1483" i="1" s="1"/>
  <c r="F1484" i="1"/>
  <c r="G1484" i="1" s="1"/>
  <c r="F1485" i="1"/>
  <c r="G1485" i="1" s="1"/>
  <c r="F1486" i="1"/>
  <c r="G1486" i="1" s="1"/>
  <c r="F1487" i="1"/>
  <c r="G1487" i="1" s="1"/>
  <c r="F1488" i="1"/>
  <c r="G1488" i="1" s="1"/>
  <c r="F1489" i="1"/>
  <c r="G1489" i="1" s="1"/>
  <c r="F1490" i="1"/>
  <c r="G1490" i="1" s="1"/>
  <c r="F1491" i="1"/>
  <c r="G1491" i="1" s="1"/>
  <c r="F1492" i="1"/>
  <c r="G1492" i="1" s="1"/>
  <c r="F1493" i="1"/>
  <c r="G1493" i="1" s="1"/>
  <c r="F1494" i="1"/>
  <c r="G1494" i="1" s="1"/>
  <c r="F1495" i="1"/>
  <c r="G1495" i="1" s="1"/>
  <c r="F1496" i="1"/>
  <c r="G1496" i="1" s="1"/>
  <c r="F1497" i="1"/>
  <c r="G1497" i="1" s="1"/>
  <c r="F1498" i="1"/>
  <c r="G1498" i="1" s="1"/>
  <c r="F1499" i="1"/>
  <c r="G1499" i="1" s="1"/>
  <c r="F1500" i="1"/>
  <c r="G1500" i="1" s="1"/>
  <c r="F1501" i="1"/>
  <c r="G1501" i="1" s="1"/>
  <c r="F1502" i="1"/>
  <c r="G1502" i="1" s="1"/>
  <c r="F1503" i="1"/>
  <c r="G1503" i="1" s="1"/>
  <c r="F1504" i="1"/>
  <c r="G1504" i="1" s="1"/>
  <c r="F1506" i="1"/>
  <c r="G1506" i="1" s="1"/>
  <c r="F1507" i="1"/>
  <c r="G1507" i="1" s="1"/>
  <c r="F1508" i="1"/>
  <c r="G1508" i="1" s="1"/>
  <c r="F1509" i="1"/>
  <c r="G1509" i="1" s="1"/>
  <c r="F1510" i="1"/>
  <c r="G1510" i="1" s="1"/>
  <c r="F1511" i="1"/>
  <c r="G1511" i="1" s="1"/>
  <c r="F1512" i="1"/>
  <c r="G1512" i="1" s="1"/>
  <c r="F1513" i="1"/>
  <c r="G1513" i="1" s="1"/>
  <c r="F1514" i="1"/>
  <c r="G1514" i="1" s="1"/>
  <c r="F1515" i="1"/>
  <c r="G1515" i="1" s="1"/>
  <c r="F1516" i="1"/>
  <c r="G1516" i="1" s="1"/>
  <c r="F1517" i="1"/>
  <c r="G1517" i="1" s="1"/>
  <c r="F1518" i="1"/>
  <c r="G1518" i="1" s="1"/>
  <c r="F1519" i="1"/>
  <c r="G1519" i="1" s="1"/>
  <c r="F1520" i="1"/>
  <c r="G1520" i="1" s="1"/>
  <c r="F1521" i="1"/>
  <c r="G1521" i="1" s="1"/>
  <c r="F1522" i="1"/>
  <c r="G1522" i="1" s="1"/>
  <c r="F1523" i="1"/>
  <c r="G1523" i="1" s="1"/>
  <c r="F1524" i="1"/>
  <c r="G1524" i="1" s="1"/>
  <c r="F1525" i="1"/>
  <c r="G1525" i="1" s="1"/>
  <c r="F1526" i="1"/>
  <c r="G1526" i="1" s="1"/>
  <c r="F1527" i="1"/>
  <c r="G1527" i="1" s="1"/>
  <c r="F1528" i="1"/>
  <c r="G1528" i="1" s="1"/>
  <c r="F1529" i="1"/>
  <c r="G1529" i="1" s="1"/>
  <c r="F1530" i="1"/>
  <c r="G1530" i="1" s="1"/>
  <c r="F1531" i="1"/>
  <c r="G1531" i="1" s="1"/>
  <c r="F1532" i="1"/>
  <c r="G1532" i="1" s="1"/>
  <c r="F1533" i="1"/>
  <c r="G1533" i="1" s="1"/>
  <c r="F1534" i="1"/>
  <c r="G1534" i="1" s="1"/>
  <c r="F1535" i="1"/>
  <c r="G1535" i="1" s="1"/>
  <c r="F1536" i="1"/>
  <c r="G1536" i="1" s="1"/>
  <c r="F1537" i="1"/>
  <c r="G1537" i="1" s="1"/>
  <c r="F1538" i="1"/>
  <c r="G1538" i="1" s="1"/>
  <c r="F1539" i="1"/>
  <c r="G1539" i="1" s="1"/>
  <c r="F1540" i="1"/>
  <c r="G1540" i="1" s="1"/>
  <c r="F1541" i="1"/>
  <c r="G1541" i="1" s="1"/>
  <c r="F1542" i="1"/>
  <c r="G1542" i="1" s="1"/>
  <c r="F1543" i="1"/>
  <c r="G1543" i="1" s="1"/>
  <c r="F1544" i="1"/>
  <c r="G1544" i="1" s="1"/>
  <c r="F1545" i="1"/>
  <c r="G1545" i="1" s="1"/>
  <c r="F1546" i="1"/>
  <c r="G1546" i="1" s="1"/>
  <c r="F1547" i="1"/>
  <c r="G1547" i="1" s="1"/>
  <c r="F1548" i="1"/>
  <c r="G1548" i="1" s="1"/>
  <c r="F1549" i="1"/>
  <c r="G1549" i="1" s="1"/>
  <c r="F1550" i="1"/>
  <c r="G1550" i="1" s="1"/>
  <c r="F1551" i="1"/>
  <c r="G1551" i="1" s="1"/>
  <c r="F1552" i="1"/>
  <c r="G1552" i="1" s="1"/>
  <c r="F1553" i="1"/>
  <c r="G1553" i="1" s="1"/>
  <c r="F1554" i="1"/>
  <c r="G1554" i="1" s="1"/>
  <c r="F1555" i="1"/>
  <c r="G1555" i="1" s="1"/>
  <c r="F1556" i="1"/>
  <c r="G1556" i="1" s="1"/>
  <c r="F1557" i="1"/>
  <c r="G1557" i="1" s="1"/>
  <c r="F949" i="1"/>
  <c r="G949" i="1" s="1"/>
</calcChain>
</file>

<file path=xl/sharedStrings.xml><?xml version="1.0" encoding="utf-8"?>
<sst xmlns="http://schemas.openxmlformats.org/spreadsheetml/2006/main" count="13355" uniqueCount="3752">
  <si>
    <t>Reaction Mix</t>
  </si>
  <si>
    <t>Partitions (Valid)</t>
  </si>
  <si>
    <t>Partitions (Positive)</t>
  </si>
  <si>
    <t>Partitions (Negative)</t>
  </si>
  <si>
    <t>Threshold</t>
  </si>
  <si>
    <t>Volume per well [µl]</t>
  </si>
  <si>
    <t>Concentration factor</t>
  </si>
  <si>
    <t>Sample</t>
  </si>
  <si>
    <t>Conc</t>
  </si>
  <si>
    <t>16S</t>
  </si>
  <si>
    <t>NTC</t>
  </si>
  <si>
    <t>8241</t>
  </si>
  <si>
    <t>7940</t>
  </si>
  <si>
    <t>301</t>
  </si>
  <si>
    <t>8129</t>
  </si>
  <si>
    <t>2730</t>
  </si>
  <si>
    <t>5399</t>
  </si>
  <si>
    <t>8265</t>
  </si>
  <si>
    <t>7815</t>
  </si>
  <si>
    <t>450</t>
  </si>
  <si>
    <t>-</t>
  </si>
  <si>
    <t>8147</t>
  </si>
  <si>
    <t>2705</t>
  </si>
  <si>
    <t>5442</t>
  </si>
  <si>
    <t>8239</t>
  </si>
  <si>
    <t>2363</t>
  </si>
  <si>
    <t>5876</t>
  </si>
  <si>
    <t>8281</t>
  </si>
  <si>
    <t>250</t>
  </si>
  <si>
    <t>8031</t>
  </si>
  <si>
    <t>7936</t>
  </si>
  <si>
    <t>329</t>
  </si>
  <si>
    <t>8190</t>
  </si>
  <si>
    <t>2662</t>
  </si>
  <si>
    <t>5528</t>
  </si>
  <si>
    <t>8297</t>
  </si>
  <si>
    <t>6230</t>
  </si>
  <si>
    <t>2067</t>
  </si>
  <si>
    <t>8288</t>
  </si>
  <si>
    <t>1272</t>
  </si>
  <si>
    <t>7016</t>
  </si>
  <si>
    <t>8206</t>
  </si>
  <si>
    <t>8203</t>
  </si>
  <si>
    <t>3</t>
  </si>
  <si>
    <t>6860</t>
  </si>
  <si>
    <t>8252</t>
  </si>
  <si>
    <t>8187</t>
  </si>
  <si>
    <t>65</t>
  </si>
  <si>
    <t>3953</t>
  </si>
  <si>
    <t>4299</t>
  </si>
  <si>
    <t>8209</t>
  </si>
  <si>
    <t>2207</t>
  </si>
  <si>
    <t>6002</t>
  </si>
  <si>
    <t>8254</t>
  </si>
  <si>
    <t>236</t>
  </si>
  <si>
    <t>8018</t>
  </si>
  <si>
    <t>8275</t>
  </si>
  <si>
    <t>7662</t>
  </si>
  <si>
    <t>613</t>
  </si>
  <si>
    <t>8240</t>
  </si>
  <si>
    <t>2354</t>
  </si>
  <si>
    <t>5886</t>
  </si>
  <si>
    <t>8262</t>
  </si>
  <si>
    <t>5704</t>
  </si>
  <si>
    <t>2558</t>
  </si>
  <si>
    <t>1204</t>
  </si>
  <si>
    <t>7050</t>
  </si>
  <si>
    <t>8283</t>
  </si>
  <si>
    <t>658</t>
  </si>
  <si>
    <t>7625</t>
  </si>
  <si>
    <t>93</t>
  </si>
  <si>
    <t>8264</t>
  </si>
  <si>
    <t>8146</t>
  </si>
  <si>
    <t>118</t>
  </si>
  <si>
    <t>650</t>
  </si>
  <si>
    <t>7614</t>
  </si>
  <si>
    <t>8266</t>
  </si>
  <si>
    <t>6757</t>
  </si>
  <si>
    <t>1509</t>
  </si>
  <si>
    <t>8244</t>
  </si>
  <si>
    <t>1541</t>
  </si>
  <si>
    <t>6703</t>
  </si>
  <si>
    <t>8255</t>
  </si>
  <si>
    <t>7977</t>
  </si>
  <si>
    <t>278</t>
  </si>
  <si>
    <t>8192</t>
  </si>
  <si>
    <t>3036</t>
  </si>
  <si>
    <t>5156</t>
  </si>
  <si>
    <t>8256</t>
  </si>
  <si>
    <t>5209</t>
  </si>
  <si>
    <t>3047</t>
  </si>
  <si>
    <t>8253</t>
  </si>
  <si>
    <t>1058</t>
  </si>
  <si>
    <t>7195</t>
  </si>
  <si>
    <t>4159</t>
  </si>
  <si>
    <t>4095</t>
  </si>
  <si>
    <t>425</t>
  </si>
  <si>
    <t>7829</t>
  </si>
  <si>
    <t>8277</t>
  </si>
  <si>
    <t>7466</t>
  </si>
  <si>
    <t>811</t>
  </si>
  <si>
    <t>2278</t>
  </si>
  <si>
    <t>5962</t>
  </si>
  <si>
    <t>8291</t>
  </si>
  <si>
    <t>4555</t>
  </si>
  <si>
    <t>3736</t>
  </si>
  <si>
    <t>815</t>
  </si>
  <si>
    <t>7473</t>
  </si>
  <si>
    <t>8289</t>
  </si>
  <si>
    <t>8077</t>
  </si>
  <si>
    <t>212</t>
  </si>
  <si>
    <t>8229</t>
  </si>
  <si>
    <t>2954</t>
  </si>
  <si>
    <t>5275</t>
  </si>
  <si>
    <t>8278</t>
  </si>
  <si>
    <t>8245</t>
  </si>
  <si>
    <t>33</t>
  </si>
  <si>
    <t>4006</t>
  </si>
  <si>
    <t>4272</t>
  </si>
  <si>
    <t>3204</t>
  </si>
  <si>
    <t>5037</t>
  </si>
  <si>
    <t>8295</t>
  </si>
  <si>
    <t>190</t>
  </si>
  <si>
    <t>8105</t>
  </si>
  <si>
    <t>8268</t>
  </si>
  <si>
    <t>7647</t>
  </si>
  <si>
    <t>621</t>
  </si>
  <si>
    <t>8231</t>
  </si>
  <si>
    <t>2405</t>
  </si>
  <si>
    <t>5826</t>
  </si>
  <si>
    <t>8267</t>
  </si>
  <si>
    <t>6445</t>
  </si>
  <si>
    <t>1822</t>
  </si>
  <si>
    <t>8258</t>
  </si>
  <si>
    <t>1359</t>
  </si>
  <si>
    <t>6899</t>
  </si>
  <si>
    <t>8260</t>
  </si>
  <si>
    <t>8116</t>
  </si>
  <si>
    <t>144</t>
  </si>
  <si>
    <t>3514</t>
  </si>
  <si>
    <t>4746</t>
  </si>
  <si>
    <t>8236</t>
  </si>
  <si>
    <t>16</t>
  </si>
  <si>
    <t>4463</t>
  </si>
  <si>
    <t>3789</t>
  </si>
  <si>
    <t>8234</t>
  </si>
  <si>
    <t>2196</t>
  </si>
  <si>
    <t>6038</t>
  </si>
  <si>
    <t>24</t>
  </si>
  <si>
    <t>8243</t>
  </si>
  <si>
    <t>8263</t>
  </si>
  <si>
    <t>7579</t>
  </si>
  <si>
    <t>684</t>
  </si>
  <si>
    <t>8186</t>
  </si>
  <si>
    <t>2007</t>
  </si>
  <si>
    <t>6179</t>
  </si>
  <si>
    <t>8169</t>
  </si>
  <si>
    <t>7137</t>
  </si>
  <si>
    <t>1032</t>
  </si>
  <si>
    <t>8096</t>
  </si>
  <si>
    <t>1948</t>
  </si>
  <si>
    <t>6148</t>
  </si>
  <si>
    <t>8276</t>
  </si>
  <si>
    <t>4663</t>
  </si>
  <si>
    <t>3613</t>
  </si>
  <si>
    <t>734</t>
  </si>
  <si>
    <t>7542</t>
  </si>
  <si>
    <t>1585</t>
  </si>
  <si>
    <t>6646</t>
  </si>
  <si>
    <t>8259</t>
  </si>
  <si>
    <t>191</t>
  </si>
  <si>
    <t>8068</t>
  </si>
  <si>
    <t>583</t>
  </si>
  <si>
    <t>7693</t>
  </si>
  <si>
    <t>53</t>
  </si>
  <si>
    <t>8223</t>
  </si>
  <si>
    <t>10</t>
  </si>
  <si>
    <t>8228</t>
  </si>
  <si>
    <t>7907</t>
  </si>
  <si>
    <t>321</t>
  </si>
  <si>
    <t>8118</t>
  </si>
  <si>
    <t>2603</t>
  </si>
  <si>
    <t>5515</t>
  </si>
  <si>
    <t>8156</t>
  </si>
  <si>
    <t>6677</t>
  </si>
  <si>
    <t>1479</t>
  </si>
  <si>
    <t>8113</t>
  </si>
  <si>
    <t>1615</t>
  </si>
  <si>
    <t>6498</t>
  </si>
  <si>
    <t>8167</t>
  </si>
  <si>
    <t>2234</t>
  </si>
  <si>
    <t>5933</t>
  </si>
  <si>
    <t>8225</t>
  </si>
  <si>
    <t>259</t>
  </si>
  <si>
    <t>7966</t>
  </si>
  <si>
    <t>8140</t>
  </si>
  <si>
    <t>2790</t>
  </si>
  <si>
    <t>5350</t>
  </si>
  <si>
    <t>8274</t>
  </si>
  <si>
    <t>165</t>
  </si>
  <si>
    <t>8109</t>
  </si>
  <si>
    <t>0</t>
  </si>
  <si>
    <t>7554</t>
  </si>
  <si>
    <t>721</t>
  </si>
  <si>
    <t>8230</t>
  </si>
  <si>
    <t>2173</t>
  </si>
  <si>
    <t>6057</t>
  </si>
  <si>
    <t>8272</t>
  </si>
  <si>
    <t>8045</t>
  </si>
  <si>
    <t>227</t>
  </si>
  <si>
    <t>8182</t>
  </si>
  <si>
    <t>3101</t>
  </si>
  <si>
    <t>5081</t>
  </si>
  <si>
    <t>8242</t>
  </si>
  <si>
    <t>6273</t>
  </si>
  <si>
    <t>1969</t>
  </si>
  <si>
    <t>7025</t>
  </si>
  <si>
    <t>8216</t>
  </si>
  <si>
    <t>2286</t>
  </si>
  <si>
    <t>5930</t>
  </si>
  <si>
    <t>343</t>
  </si>
  <si>
    <t>7912</t>
  </si>
  <si>
    <t>8287</t>
  </si>
  <si>
    <t>8171</t>
  </si>
  <si>
    <t>116</t>
  </si>
  <si>
    <t>3784</t>
  </si>
  <si>
    <t>4503</t>
  </si>
  <si>
    <t>8286</t>
  </si>
  <si>
    <t>8202</t>
  </si>
  <si>
    <t>84</t>
  </si>
  <si>
    <t>3608</t>
  </si>
  <si>
    <t>4678</t>
  </si>
  <si>
    <t>8273</t>
  </si>
  <si>
    <t>8114</t>
  </si>
  <si>
    <t>159</t>
  </si>
  <si>
    <t>8161</t>
  </si>
  <si>
    <t>3118</t>
  </si>
  <si>
    <t>5043</t>
  </si>
  <si>
    <t>3694</t>
  </si>
  <si>
    <t>4594</t>
  </si>
  <si>
    <t>8285</t>
  </si>
  <si>
    <t>620</t>
  </si>
  <si>
    <t>7665</t>
  </si>
  <si>
    <t>1120</t>
  </si>
  <si>
    <t>6047</t>
  </si>
  <si>
    <t>2209</t>
  </si>
  <si>
    <t>1282</t>
  </si>
  <si>
    <t>6959</t>
  </si>
  <si>
    <t>4879</t>
  </si>
  <si>
    <t>3385</t>
  </si>
  <si>
    <t>794</t>
  </si>
  <si>
    <t>7470</t>
  </si>
  <si>
    <t>6556</t>
  </si>
  <si>
    <t>1719</t>
  </si>
  <si>
    <t>1601</t>
  </si>
  <si>
    <t>6666</t>
  </si>
  <si>
    <t>1951</t>
  </si>
  <si>
    <t>7334</t>
  </si>
  <si>
    <t>961</t>
  </si>
  <si>
    <t>8215</t>
  </si>
  <si>
    <t>1931</t>
  </si>
  <si>
    <t>6284</t>
  </si>
  <si>
    <t>7754</t>
  </si>
  <si>
    <t>511</t>
  </si>
  <si>
    <t>8213</t>
  </si>
  <si>
    <t>2387</t>
  </si>
  <si>
    <t>7900</t>
  </si>
  <si>
    <t>3843</t>
  </si>
  <si>
    <t>4057</t>
  </si>
  <si>
    <t>619</t>
  </si>
  <si>
    <t>7281</t>
  </si>
  <si>
    <t>7775</t>
  </si>
  <si>
    <t>493</t>
  </si>
  <si>
    <t>8220</t>
  </si>
  <si>
    <t>2334</t>
  </si>
  <si>
    <t>8126</t>
  </si>
  <si>
    <t>2573</t>
  </si>
  <si>
    <t>5553</t>
  </si>
  <si>
    <t>242</t>
  </si>
  <si>
    <t>8021</t>
  </si>
  <si>
    <t>8249</t>
  </si>
  <si>
    <t>47</t>
  </si>
  <si>
    <t>3622</t>
  </si>
  <si>
    <t>4627</t>
  </si>
  <si>
    <t>8270</t>
  </si>
  <si>
    <t>7922</t>
  </si>
  <si>
    <t>348</t>
  </si>
  <si>
    <t>8222</t>
  </si>
  <si>
    <t>2543</t>
  </si>
  <si>
    <t>5679</t>
  </si>
  <si>
    <t>6312</t>
  </si>
  <si>
    <t>1406</t>
  </si>
  <si>
    <t>4560</t>
  </si>
  <si>
    <t>3725</t>
  </si>
  <si>
    <t>8282</t>
  </si>
  <si>
    <t>765</t>
  </si>
  <si>
    <t>7517</t>
  </si>
  <si>
    <t>8279</t>
  </si>
  <si>
    <t>1198</t>
  </si>
  <si>
    <t>7081</t>
  </si>
  <si>
    <t>143</t>
  </si>
  <si>
    <t>8145</t>
  </si>
  <si>
    <t>8304</t>
  </si>
  <si>
    <t>7492</t>
  </si>
  <si>
    <t>812</t>
  </si>
  <si>
    <t>8246</t>
  </si>
  <si>
    <t>1938</t>
  </si>
  <si>
    <t>6308</t>
  </si>
  <si>
    <t>8280</t>
  </si>
  <si>
    <t>368</t>
  </si>
  <si>
    <t>2710</t>
  </si>
  <si>
    <t>5510</t>
  </si>
  <si>
    <t>6393</t>
  </si>
  <si>
    <t>1862</t>
  </si>
  <si>
    <t>1367</t>
  </si>
  <si>
    <t>6888</t>
  </si>
  <si>
    <t>8066</t>
  </si>
  <si>
    <t>7401</t>
  </si>
  <si>
    <t>665</t>
  </si>
  <si>
    <t>8026</t>
  </si>
  <si>
    <t>2358</t>
  </si>
  <si>
    <t>5668</t>
  </si>
  <si>
    <t>3002</t>
  </si>
  <si>
    <t>5207</t>
  </si>
  <si>
    <t>8271</t>
  </si>
  <si>
    <t>7778</t>
  </si>
  <si>
    <t>957</t>
  </si>
  <si>
    <t>7326</t>
  </si>
  <si>
    <t>80</t>
  </si>
  <si>
    <t>8293</t>
  </si>
  <si>
    <t>5737</t>
  </si>
  <si>
    <t>2556</t>
  </si>
  <si>
    <t>977</t>
  </si>
  <si>
    <t>7306</t>
  </si>
  <si>
    <t>5696</t>
  </si>
  <si>
    <t>2583</t>
  </si>
  <si>
    <t>1118</t>
  </si>
  <si>
    <t>7157</t>
  </si>
  <si>
    <t>8314</t>
  </si>
  <si>
    <t>7513</t>
  </si>
  <si>
    <t>801</t>
  </si>
  <si>
    <t>2284</t>
  </si>
  <si>
    <t>5991</t>
  </si>
  <si>
    <t>6827</t>
  </si>
  <si>
    <t>1451</t>
  </si>
  <si>
    <t>1529</t>
  </si>
  <si>
    <t>6724</t>
  </si>
  <si>
    <t>8261</t>
  </si>
  <si>
    <t>4843</t>
  </si>
  <si>
    <t>3418</t>
  </si>
  <si>
    <t>780</t>
  </si>
  <si>
    <t>7478</t>
  </si>
  <si>
    <t>4877</t>
  </si>
  <si>
    <t>3388</t>
  </si>
  <si>
    <t>952</t>
  </si>
  <si>
    <t>7310</t>
  </si>
  <si>
    <t>8025</t>
  </si>
  <si>
    <t>257</t>
  </si>
  <si>
    <t>8237</t>
  </si>
  <si>
    <t>3056</t>
  </si>
  <si>
    <t>5181</t>
  </si>
  <si>
    <t>7930</t>
  </si>
  <si>
    <t>335</t>
  </si>
  <si>
    <t>8185</t>
  </si>
  <si>
    <t>2505</t>
  </si>
  <si>
    <t>5680</t>
  </si>
  <si>
    <t>59</t>
  </si>
  <si>
    <t>3657</t>
  </si>
  <si>
    <t>4608</t>
  </si>
  <si>
    <t>4416</t>
  </si>
  <si>
    <t>3881</t>
  </si>
  <si>
    <t>586</t>
  </si>
  <si>
    <t>7711</t>
  </si>
  <si>
    <t>3576</t>
  </si>
  <si>
    <t>4711</t>
  </si>
  <si>
    <t>508</t>
  </si>
  <si>
    <t>7769</t>
  </si>
  <si>
    <t>105</t>
  </si>
  <si>
    <t>3409</t>
  </si>
  <si>
    <t>4863</t>
  </si>
  <si>
    <t>7320</t>
  </si>
  <si>
    <t>8224</t>
  </si>
  <si>
    <t>1888</t>
  </si>
  <si>
    <t>6336</t>
  </si>
  <si>
    <t>12</t>
  </si>
  <si>
    <t>4660</t>
  </si>
  <si>
    <t>3601</t>
  </si>
  <si>
    <t>5248</t>
  </si>
  <si>
    <t>3018</t>
  </si>
  <si>
    <t>907</t>
  </si>
  <si>
    <t>7356</t>
  </si>
  <si>
    <t>359</t>
  </si>
  <si>
    <t>8210</t>
  </si>
  <si>
    <t>2333</t>
  </si>
  <si>
    <t>5877</t>
  </si>
  <si>
    <t>4275</t>
  </si>
  <si>
    <t>4000</t>
  </si>
  <si>
    <t>7297</t>
  </si>
  <si>
    <t>988</t>
  </si>
  <si>
    <t>2090</t>
  </si>
  <si>
    <t>6165</t>
  </si>
  <si>
    <t>5188</t>
  </si>
  <si>
    <t>3107</t>
  </si>
  <si>
    <t>867</t>
  </si>
  <si>
    <t>7421</t>
  </si>
  <si>
    <t>6821</t>
  </si>
  <si>
    <t>1465</t>
  </si>
  <si>
    <t>8235</t>
  </si>
  <si>
    <t>1800</t>
  </si>
  <si>
    <t>6435</t>
  </si>
  <si>
    <t>8302</t>
  </si>
  <si>
    <t>7781</t>
  </si>
  <si>
    <t>521</t>
  </si>
  <si>
    <t>2208</t>
  </si>
  <si>
    <t>6060</t>
  </si>
  <si>
    <t>7633</t>
  </si>
  <si>
    <t>623</t>
  </si>
  <si>
    <t>8214</t>
  </si>
  <si>
    <t>2187</t>
  </si>
  <si>
    <t>6027</t>
  </si>
  <si>
    <t>2254</t>
  </si>
  <si>
    <t>8250</t>
  </si>
  <si>
    <t>1072</t>
  </si>
  <si>
    <t>7178</t>
  </si>
  <si>
    <t>3715</t>
  </si>
  <si>
    <t>792</t>
  </si>
  <si>
    <t>7480</t>
  </si>
  <si>
    <t>5721</t>
  </si>
  <si>
    <t>2522</t>
  </si>
  <si>
    <t>1180</t>
  </si>
  <si>
    <t>7057</t>
  </si>
  <si>
    <t>7073</t>
  </si>
  <si>
    <t>1220</t>
  </si>
  <si>
    <t>1874</t>
  </si>
  <si>
    <t>6339</t>
  </si>
  <si>
    <t>8183</t>
  </si>
  <si>
    <t>3179</t>
  </si>
  <si>
    <t>5004</t>
  </si>
  <si>
    <t>553</t>
  </si>
  <si>
    <t>7721</t>
  </si>
  <si>
    <t>1</t>
  </si>
  <si>
    <t xml:space="preserve">Run </t>
  </si>
  <si>
    <t>E2</t>
  </si>
  <si>
    <t>E1</t>
  </si>
  <si>
    <t>E3</t>
  </si>
  <si>
    <t>E4</t>
  </si>
  <si>
    <t>E5</t>
  </si>
  <si>
    <t>ENV</t>
  </si>
  <si>
    <t>ybbw</t>
  </si>
  <si>
    <t>7899</t>
  </si>
  <si>
    <t>311</t>
  </si>
  <si>
    <t>2632</t>
  </si>
  <si>
    <t>5494</t>
  </si>
  <si>
    <t>7654</t>
  </si>
  <si>
    <t>622</t>
  </si>
  <si>
    <t>2239</t>
  </si>
  <si>
    <t>6000</t>
  </si>
  <si>
    <t>7767</t>
  </si>
  <si>
    <t>483</t>
  </si>
  <si>
    <t>2322</t>
  </si>
  <si>
    <t>5887</t>
  </si>
  <si>
    <t>8232</t>
  </si>
  <si>
    <t>1756</t>
  </si>
  <si>
    <t>6476</t>
  </si>
  <si>
    <t>243</t>
  </si>
  <si>
    <t>8046</t>
  </si>
  <si>
    <t>7495</t>
  </si>
  <si>
    <t>2243</t>
  </si>
  <si>
    <t>8294</t>
  </si>
  <si>
    <t>7847</t>
  </si>
  <si>
    <t>447</t>
  </si>
  <si>
    <t>2468</t>
  </si>
  <si>
    <t>5782</t>
  </si>
  <si>
    <t>3956</t>
  </si>
  <si>
    <t>4311</t>
  </si>
  <si>
    <t>303</t>
  </si>
  <si>
    <t>7962</t>
  </si>
  <si>
    <t>7546</t>
  </si>
  <si>
    <t>714</t>
  </si>
  <si>
    <t>8217</t>
  </si>
  <si>
    <t>2114</t>
  </si>
  <si>
    <t>6103</t>
  </si>
  <si>
    <t>6910</t>
  </si>
  <si>
    <t>1364</t>
  </si>
  <si>
    <t>8218</t>
  </si>
  <si>
    <t>1742</t>
  </si>
  <si>
    <t>8290</t>
  </si>
  <si>
    <t>5971</t>
  </si>
  <si>
    <t>2319</t>
  </si>
  <si>
    <t>1138</t>
  </si>
  <si>
    <t>7140</t>
  </si>
  <si>
    <t>8296</t>
  </si>
  <si>
    <t>5753</t>
  </si>
  <si>
    <t>345</t>
  </si>
  <si>
    <t>7951</t>
  </si>
  <si>
    <t>7219</t>
  </si>
  <si>
    <t>1048</t>
  </si>
  <si>
    <t>1807</t>
  </si>
  <si>
    <t>6413</t>
  </si>
  <si>
    <t>4940</t>
  </si>
  <si>
    <t>3342</t>
  </si>
  <si>
    <t>927</t>
  </si>
  <si>
    <t>7348</t>
  </si>
  <si>
    <t>6306</t>
  </si>
  <si>
    <t>1953</t>
  </si>
  <si>
    <t>8238</t>
  </si>
  <si>
    <t>1321</t>
  </si>
  <si>
    <t>6917</t>
  </si>
  <si>
    <t>8172</t>
  </si>
  <si>
    <t>3074</t>
  </si>
  <si>
    <t>5098</t>
  </si>
  <si>
    <t>371</t>
  </si>
  <si>
    <t>7909</t>
  </si>
  <si>
    <t>4420</t>
  </si>
  <si>
    <t>3874</t>
  </si>
  <si>
    <t>715</t>
  </si>
  <si>
    <t>8284</t>
  </si>
  <si>
    <t>4580</t>
  </si>
  <si>
    <t>3704</t>
  </si>
  <si>
    <t>708</t>
  </si>
  <si>
    <t>7576</t>
  </si>
  <si>
    <t>8166</t>
  </si>
  <si>
    <t>101</t>
  </si>
  <si>
    <t>3703</t>
  </si>
  <si>
    <t>4564</t>
  </si>
  <si>
    <t>7743</t>
  </si>
  <si>
    <t>481</t>
  </si>
  <si>
    <t>2226</t>
  </si>
  <si>
    <t>5966</t>
  </si>
  <si>
    <t>6144</t>
  </si>
  <si>
    <t>2134</t>
  </si>
  <si>
    <t>863</t>
  </si>
  <si>
    <t>7411</t>
  </si>
  <si>
    <t>2308</t>
  </si>
  <si>
    <t>1247</t>
  </si>
  <si>
    <t>7023</t>
  </si>
  <si>
    <t>5316</t>
  </si>
  <si>
    <t>2977</t>
  </si>
  <si>
    <t>1047</t>
  </si>
  <si>
    <t>7246</t>
  </si>
  <si>
    <t>7963</t>
  </si>
  <si>
    <t>8208</t>
  </si>
  <si>
    <t>2634</t>
  </si>
  <si>
    <t>5574</t>
  </si>
  <si>
    <t>7652</t>
  </si>
  <si>
    <t>639</t>
  </si>
  <si>
    <t>8251</t>
  </si>
  <si>
    <t>2195</t>
  </si>
  <si>
    <t>6056</t>
  </si>
  <si>
    <t>8198</t>
  </si>
  <si>
    <t>1881</t>
  </si>
  <si>
    <t>6317</t>
  </si>
  <si>
    <t>8257</t>
  </si>
  <si>
    <t>223</t>
  </si>
  <si>
    <t>8034</t>
  </si>
  <si>
    <t>6408</t>
  </si>
  <si>
    <t>1867</t>
  </si>
  <si>
    <t>1308</t>
  </si>
  <si>
    <t>6958</t>
  </si>
  <si>
    <t>7610</t>
  </si>
  <si>
    <t>663</t>
  </si>
  <si>
    <t>2136</t>
  </si>
  <si>
    <t>6094</t>
  </si>
  <si>
    <t>267</t>
  </si>
  <si>
    <t>8133</t>
  </si>
  <si>
    <t>5428</t>
  </si>
  <si>
    <t>3638</t>
  </si>
  <si>
    <t>4613</t>
  </si>
  <si>
    <t>7589</t>
  </si>
  <si>
    <t>697</t>
  </si>
  <si>
    <t>8196</t>
  </si>
  <si>
    <t>1995</t>
  </si>
  <si>
    <t>6201</t>
  </si>
  <si>
    <t>6600</t>
  </si>
  <si>
    <t>1664</t>
  </si>
  <si>
    <t>1408</t>
  </si>
  <si>
    <t>6856</t>
  </si>
  <si>
    <t>7776</t>
  </si>
  <si>
    <t>2416</t>
  </si>
  <si>
    <t>5846</t>
  </si>
  <si>
    <t>5274</t>
  </si>
  <si>
    <t>1045</t>
  </si>
  <si>
    <t>7221</t>
  </si>
  <si>
    <t>6152</t>
  </si>
  <si>
    <t>2131</t>
  </si>
  <si>
    <t>1412</t>
  </si>
  <si>
    <t>6854</t>
  </si>
  <si>
    <t>45</t>
  </si>
  <si>
    <t>3861</t>
  </si>
  <si>
    <t>4404</t>
  </si>
  <si>
    <t>6400</t>
  </si>
  <si>
    <t>1256</t>
  </si>
  <si>
    <t>7009</t>
  </si>
  <si>
    <t>6084</t>
  </si>
  <si>
    <t>1042</t>
  </si>
  <si>
    <t>7239</t>
  </si>
  <si>
    <t>7976</t>
  </si>
  <si>
    <t>307</t>
  </si>
  <si>
    <t>8204</t>
  </si>
  <si>
    <t>2582</t>
  </si>
  <si>
    <t>5622</t>
  </si>
  <si>
    <t>3925</t>
  </si>
  <si>
    <t>4363</t>
  </si>
  <si>
    <t>614</t>
  </si>
  <si>
    <t>7671</t>
  </si>
  <si>
    <t>6869</t>
  </si>
  <si>
    <t>1407</t>
  </si>
  <si>
    <t>1539</t>
  </si>
  <si>
    <t>6718</t>
  </si>
  <si>
    <t>5134</t>
  </si>
  <si>
    <t>3157</t>
  </si>
  <si>
    <t>966</t>
  </si>
  <si>
    <t>7316</t>
  </si>
  <si>
    <t>4792</t>
  </si>
  <si>
    <t>3472</t>
  </si>
  <si>
    <t>7469</t>
  </si>
  <si>
    <t>2508</t>
  </si>
  <si>
    <t>5700</t>
  </si>
  <si>
    <t>331</t>
  </si>
  <si>
    <t>7910</t>
  </si>
  <si>
    <t>7150</t>
  </si>
  <si>
    <t>1109</t>
  </si>
  <si>
    <t>8205</t>
  </si>
  <si>
    <t>1793</t>
  </si>
  <si>
    <t>6412</t>
  </si>
  <si>
    <t>6513</t>
  </si>
  <si>
    <t>1772</t>
  </si>
  <si>
    <t>1467</t>
  </si>
  <si>
    <t>6818</t>
  </si>
  <si>
    <t>5901</t>
  </si>
  <si>
    <t>2390</t>
  </si>
  <si>
    <t>1136</t>
  </si>
  <si>
    <t>7996</t>
  </si>
  <si>
    <t>294</t>
  </si>
  <si>
    <t>8248</t>
  </si>
  <si>
    <t>1614</t>
  </si>
  <si>
    <t>6634</t>
  </si>
  <si>
    <t>8299</t>
  </si>
  <si>
    <t>5543</t>
  </si>
  <si>
    <t>2756</t>
  </si>
  <si>
    <t>1306</t>
  </si>
  <si>
    <t>6984</t>
  </si>
  <si>
    <t>1119</t>
  </si>
  <si>
    <t>7159</t>
  </si>
  <si>
    <t>171</t>
  </si>
  <si>
    <t>8107</t>
  </si>
  <si>
    <t>5476</t>
  </si>
  <si>
    <t>2810</t>
  </si>
  <si>
    <t>1035</t>
  </si>
  <si>
    <t>7248</t>
  </si>
  <si>
    <t>6491</t>
  </si>
  <si>
    <t>1775</t>
  </si>
  <si>
    <t>1274</t>
  </si>
  <si>
    <t>6974</t>
  </si>
  <si>
    <t>4894</t>
  </si>
  <si>
    <t>910</t>
  </si>
  <si>
    <t>7360</t>
  </si>
  <si>
    <t>4026</t>
  </si>
  <si>
    <t>4263</t>
  </si>
  <si>
    <t>600</t>
  </si>
  <si>
    <t>7689</t>
  </si>
  <si>
    <t>7417</t>
  </si>
  <si>
    <t>858</t>
  </si>
  <si>
    <t>8200</t>
  </si>
  <si>
    <t>1975</t>
  </si>
  <si>
    <t>6225</t>
  </si>
  <si>
    <t>6847</t>
  </si>
  <si>
    <t>1452</t>
  </si>
  <si>
    <t>1548</t>
  </si>
  <si>
    <t>6739</t>
  </si>
  <si>
    <t>8207</t>
  </si>
  <si>
    <t>29</t>
  </si>
  <si>
    <t>4280</t>
  </si>
  <si>
    <t>354</t>
  </si>
  <si>
    <t>2646</t>
  </si>
  <si>
    <t>5537</t>
  </si>
  <si>
    <t>3910</t>
  </si>
  <si>
    <t>4374</t>
  </si>
  <si>
    <t>7556</t>
  </si>
  <si>
    <t>2249</t>
  </si>
  <si>
    <t>8015</t>
  </si>
  <si>
    <t>8173</t>
  </si>
  <si>
    <t>2576</t>
  </si>
  <si>
    <t>5597</t>
  </si>
  <si>
    <t>575</t>
  </si>
  <si>
    <t>8227</t>
  </si>
  <si>
    <t>2368</t>
  </si>
  <si>
    <t>5859</t>
  </si>
  <si>
    <t>8188</t>
  </si>
  <si>
    <t>94</t>
  </si>
  <si>
    <t>3716</t>
  </si>
  <si>
    <t>4566</t>
  </si>
  <si>
    <t>6815</t>
  </si>
  <si>
    <t>1432</t>
  </si>
  <si>
    <t>6843</t>
  </si>
  <si>
    <t>7941</t>
  </si>
  <si>
    <t>338</t>
  </si>
  <si>
    <t>2706</t>
  </si>
  <si>
    <t>5508</t>
  </si>
  <si>
    <t>8303</t>
  </si>
  <si>
    <t>7713</t>
  </si>
  <si>
    <t>590</t>
  </si>
  <si>
    <t>2493</t>
  </si>
  <si>
    <t>5762</t>
  </si>
  <si>
    <t>7680</t>
  </si>
  <si>
    <t>584</t>
  </si>
  <si>
    <t>8184</t>
  </si>
  <si>
    <t>2392</t>
  </si>
  <si>
    <t>5792</t>
  </si>
  <si>
    <t>4689</t>
  </si>
  <si>
    <t>3599</t>
  </si>
  <si>
    <t>754</t>
  </si>
  <si>
    <t>7534</t>
  </si>
  <si>
    <t>7799</t>
  </si>
  <si>
    <t>487</t>
  </si>
  <si>
    <t>2098</t>
  </si>
  <si>
    <t>6133</t>
  </si>
  <si>
    <t>2130</t>
  </si>
  <si>
    <t>419</t>
  </si>
  <si>
    <t>7849</t>
  </si>
  <si>
    <t>6172</t>
  </si>
  <si>
    <t>2095</t>
  </si>
  <si>
    <t>1233</t>
  </si>
  <si>
    <t>7008</t>
  </si>
  <si>
    <t>544</t>
  </si>
  <si>
    <t>5998</t>
  </si>
  <si>
    <t>7984</t>
  </si>
  <si>
    <t>305</t>
  </si>
  <si>
    <t>8165</t>
  </si>
  <si>
    <t>2805</t>
  </si>
  <si>
    <t>5360</t>
  </si>
  <si>
    <t>141</t>
  </si>
  <si>
    <t>8179</t>
  </si>
  <si>
    <t>3001</t>
  </si>
  <si>
    <t>5178</t>
  </si>
  <si>
    <t>7970</t>
  </si>
  <si>
    <t>316</t>
  </si>
  <si>
    <t>2678</t>
  </si>
  <si>
    <t>5509</t>
  </si>
  <si>
    <t>3794</t>
  </si>
  <si>
    <t>4485</t>
  </si>
  <si>
    <t>627</t>
  </si>
  <si>
    <t>5733</t>
  </si>
  <si>
    <t>2547</t>
  </si>
  <si>
    <t>7056</t>
  </si>
  <si>
    <t>8247</t>
  </si>
  <si>
    <t>6972</t>
  </si>
  <si>
    <t>1275</t>
  </si>
  <si>
    <t>1622</t>
  </si>
  <si>
    <t>6585</t>
  </si>
  <si>
    <t>8149</t>
  </si>
  <si>
    <t>6090</t>
  </si>
  <si>
    <t>2059</t>
  </si>
  <si>
    <t>8141</t>
  </si>
  <si>
    <t>1237</t>
  </si>
  <si>
    <t>6904</t>
  </si>
  <si>
    <t>805</t>
  </si>
  <si>
    <t>8219</t>
  </si>
  <si>
    <t>3706</t>
  </si>
  <si>
    <t>2536</t>
  </si>
  <si>
    <t>5652</t>
  </si>
  <si>
    <t>406</t>
  </si>
  <si>
    <t>7865</t>
  </si>
  <si>
    <t>3232</t>
  </si>
  <si>
    <t>4981</t>
  </si>
  <si>
    <t>524</t>
  </si>
  <si>
    <t>7753</t>
  </si>
  <si>
    <t>8233</t>
  </si>
  <si>
    <t>E6</t>
  </si>
  <si>
    <t>8099</t>
  </si>
  <si>
    <t>176</t>
  </si>
  <si>
    <t>5924</t>
  </si>
  <si>
    <t>7595</t>
  </si>
  <si>
    <t>677</t>
  </si>
  <si>
    <t>1313</t>
  </si>
  <si>
    <t>26</t>
  </si>
  <si>
    <t>4170</t>
  </si>
  <si>
    <t>4106</t>
  </si>
  <si>
    <t>7133</t>
  </si>
  <si>
    <t>132</t>
  </si>
  <si>
    <t>8121</t>
  </si>
  <si>
    <t>8212</t>
  </si>
  <si>
    <t>6850</t>
  </si>
  <si>
    <t>1362</t>
  </si>
  <si>
    <t>8168</t>
  </si>
  <si>
    <t>1527</t>
  </si>
  <si>
    <t>6641</t>
  </si>
  <si>
    <t>6688</t>
  </si>
  <si>
    <t>1562</t>
  </si>
  <si>
    <t>1525</t>
  </si>
  <si>
    <t>6721</t>
  </si>
  <si>
    <t>6783</t>
  </si>
  <si>
    <t>1474</t>
  </si>
  <si>
    <t>1612</t>
  </si>
  <si>
    <t>6615</t>
  </si>
  <si>
    <t>6882</t>
  </si>
  <si>
    <t>1378</t>
  </si>
  <si>
    <t>1589</t>
  </si>
  <si>
    <t>6626</t>
  </si>
  <si>
    <t>8128</t>
  </si>
  <si>
    <t>107</t>
  </si>
  <si>
    <t>3779</t>
  </si>
  <si>
    <t>4456</t>
  </si>
  <si>
    <t>4537</t>
  </si>
  <si>
    <t>3730</t>
  </si>
  <si>
    <t>750</t>
  </si>
  <si>
    <t>6006</t>
  </si>
  <si>
    <t>2258</t>
  </si>
  <si>
    <t>6777</t>
  </si>
  <si>
    <t>5331</t>
  </si>
  <si>
    <t>2923</t>
  </si>
  <si>
    <t>896</t>
  </si>
  <si>
    <t>7355</t>
  </si>
  <si>
    <t>7925</t>
  </si>
  <si>
    <t>341</t>
  </si>
  <si>
    <t>8197</t>
  </si>
  <si>
    <t>2637</t>
  </si>
  <si>
    <t>5560</t>
  </si>
  <si>
    <t>8083</t>
  </si>
  <si>
    <t>170</t>
  </si>
  <si>
    <t>8159</t>
  </si>
  <si>
    <t>3064</t>
  </si>
  <si>
    <t>5095</t>
  </si>
  <si>
    <t>7759</t>
  </si>
  <si>
    <t>476</t>
  </si>
  <si>
    <t>8201</t>
  </si>
  <si>
    <t>1677</t>
  </si>
  <si>
    <t>6524</t>
  </si>
  <si>
    <t>7553</t>
  </si>
  <si>
    <t>725</t>
  </si>
  <si>
    <t>1755</t>
  </si>
  <si>
    <t>6468</t>
  </si>
  <si>
    <t>357</t>
  </si>
  <si>
    <t>5551</t>
  </si>
  <si>
    <t>2218</t>
  </si>
  <si>
    <t>1281</t>
  </si>
  <si>
    <t>6978</t>
  </si>
  <si>
    <t>4550</t>
  </si>
  <si>
    <t>3744</t>
  </si>
  <si>
    <t>915</t>
  </si>
  <si>
    <t>7367</t>
  </si>
  <si>
    <t>1974</t>
  </si>
  <si>
    <t>6235</t>
  </si>
  <si>
    <t>8001</t>
  </si>
  <si>
    <t>3870</t>
  </si>
  <si>
    <t>4396</t>
  </si>
  <si>
    <t>404</t>
  </si>
  <si>
    <t>7862</t>
  </si>
  <si>
    <t>6750</t>
  </si>
  <si>
    <t>1524</t>
  </si>
  <si>
    <t>1431</t>
  </si>
  <si>
    <t>86</t>
  </si>
  <si>
    <t>3594</t>
  </si>
  <si>
    <t>4661</t>
  </si>
  <si>
    <t>4740</t>
  </si>
  <si>
    <t>3496</t>
  </si>
  <si>
    <t>884</t>
  </si>
  <si>
    <t>7349</t>
  </si>
  <si>
    <t>3512</t>
  </si>
  <si>
    <t>4755</t>
  </si>
  <si>
    <t>591</t>
  </si>
  <si>
    <t>7676</t>
  </si>
  <si>
    <t>7864</t>
  </si>
  <si>
    <t>385</t>
  </si>
  <si>
    <t>2432</t>
  </si>
  <si>
    <t>5740</t>
  </si>
  <si>
    <t>6696</t>
  </si>
  <si>
    <t>1590</t>
  </si>
  <si>
    <t>1607</t>
  </si>
  <si>
    <t>6654</t>
  </si>
  <si>
    <t>7594</t>
  </si>
  <si>
    <t>689</t>
  </si>
  <si>
    <t>2069</t>
  </si>
  <si>
    <t>6202</t>
  </si>
  <si>
    <t>5969</t>
  </si>
  <si>
    <t>2302</t>
  </si>
  <si>
    <t>1184</t>
  </si>
  <si>
    <t>7072</t>
  </si>
  <si>
    <t>8010</t>
  </si>
  <si>
    <t>248</t>
  </si>
  <si>
    <t>2716</t>
  </si>
  <si>
    <t>5470</t>
  </si>
  <si>
    <t>5386</t>
  </si>
  <si>
    <t>2877</t>
  </si>
  <si>
    <t>826</t>
  </si>
  <si>
    <t>7434</t>
  </si>
  <si>
    <t>7942</t>
  </si>
  <si>
    <t>8199</t>
  </si>
  <si>
    <t>2888</t>
  </si>
  <si>
    <t>5311</t>
  </si>
  <si>
    <t>63</t>
  </si>
  <si>
    <t>3788</t>
  </si>
  <si>
    <t>4490</t>
  </si>
  <si>
    <t>8269</t>
  </si>
  <si>
    <t>5046</t>
  </si>
  <si>
    <t>3223</t>
  </si>
  <si>
    <t>888</t>
  </si>
  <si>
    <t>7378</t>
  </si>
  <si>
    <t>8292</t>
  </si>
  <si>
    <t>3690</t>
  </si>
  <si>
    <t>4602</t>
  </si>
  <si>
    <t>530</t>
  </si>
  <si>
    <t>7762</t>
  </si>
  <si>
    <t>7894</t>
  </si>
  <si>
    <t>392</t>
  </si>
  <si>
    <t>2469</t>
  </si>
  <si>
    <t>5780</t>
  </si>
  <si>
    <t>7623</t>
  </si>
  <si>
    <t>672</t>
  </si>
  <si>
    <t>2100</t>
  </si>
  <si>
    <t>6161</t>
  </si>
  <si>
    <t>6681</t>
  </si>
  <si>
    <t>194</t>
  </si>
  <si>
    <t>8067</t>
  </si>
  <si>
    <t>8195</t>
  </si>
  <si>
    <t>3166</t>
  </si>
  <si>
    <t>5029</t>
  </si>
  <si>
    <t>437</t>
  </si>
  <si>
    <t>7813</t>
  </si>
  <si>
    <t>4585</t>
  </si>
  <si>
    <t>3691</t>
  </si>
  <si>
    <t>7447</t>
  </si>
  <si>
    <t>7087</t>
  </si>
  <si>
    <t>1187</t>
  </si>
  <si>
    <t>1649</t>
  </si>
  <si>
    <t>6597</t>
  </si>
  <si>
    <t>2042</t>
  </si>
  <si>
    <t>1430</t>
  </si>
  <si>
    <t>6820</t>
  </si>
  <si>
    <t>7259</t>
  </si>
  <si>
    <t>990</t>
  </si>
  <si>
    <t>6385</t>
  </si>
  <si>
    <t>5809</t>
  </si>
  <si>
    <t>1488</t>
  </si>
  <si>
    <t>6769</t>
  </si>
  <si>
    <t>6546</t>
  </si>
  <si>
    <t>1720</t>
  </si>
  <si>
    <t>1543</t>
  </si>
  <si>
    <t>6684</t>
  </si>
  <si>
    <t>6842</t>
  </si>
  <si>
    <t>1426</t>
  </si>
  <si>
    <t>4284</t>
  </si>
  <si>
    <t>3984</t>
  </si>
  <si>
    <t>744</t>
  </si>
  <si>
    <t>7524</t>
  </si>
  <si>
    <t>6529</t>
  </si>
  <si>
    <t>1735</t>
  </si>
  <si>
    <t>1280</t>
  </si>
  <si>
    <t>6968</t>
  </si>
  <si>
    <t>7926</t>
  </si>
  <si>
    <t>353</t>
  </si>
  <si>
    <t>2738</t>
  </si>
  <si>
    <t>5431</t>
  </si>
  <si>
    <t>8181</t>
  </si>
  <si>
    <t>99</t>
  </si>
  <si>
    <t>3775</t>
  </si>
  <si>
    <t>4505</t>
  </si>
  <si>
    <t>4782</t>
  </si>
  <si>
    <t>3501</t>
  </si>
  <si>
    <t>851</t>
  </si>
  <si>
    <t>7429</t>
  </si>
  <si>
    <t>8037</t>
  </si>
  <si>
    <t>220</t>
  </si>
  <si>
    <t>3416</t>
  </si>
  <si>
    <t>4841</t>
  </si>
  <si>
    <t>4596</t>
  </si>
  <si>
    <t>3659</t>
  </si>
  <si>
    <t>742</t>
  </si>
  <si>
    <t>7510</t>
  </si>
  <si>
    <t>7827</t>
  </si>
  <si>
    <t>433</t>
  </si>
  <si>
    <t>5864</t>
  </si>
  <si>
    <t>4790</t>
  </si>
  <si>
    <t>3483</t>
  </si>
  <si>
    <t>929</t>
  </si>
  <si>
    <t>7340</t>
  </si>
  <si>
    <t>17</t>
  </si>
  <si>
    <t>5028</t>
  </si>
  <si>
    <t>3250</t>
  </si>
  <si>
    <t>709</t>
  </si>
  <si>
    <t>7563</t>
  </si>
  <si>
    <t>82</t>
  </si>
  <si>
    <t>7561</t>
  </si>
  <si>
    <t>695</t>
  </si>
  <si>
    <t>8226</t>
  </si>
  <si>
    <t>2086</t>
  </si>
  <si>
    <t>6140</t>
  </si>
  <si>
    <t>7905</t>
  </si>
  <si>
    <t>8157</t>
  </si>
  <si>
    <t>2586</t>
  </si>
  <si>
    <t>5571</t>
  </si>
  <si>
    <t>7181</t>
  </si>
  <si>
    <t>2198</t>
  </si>
  <si>
    <t>4983</t>
  </si>
  <si>
    <t>287</t>
  </si>
  <si>
    <t>7965</t>
  </si>
  <si>
    <t>5050</t>
  </si>
  <si>
    <t>516</t>
  </si>
  <si>
    <t>7730</t>
  </si>
  <si>
    <t>7536</t>
  </si>
  <si>
    <t>2126</t>
  </si>
  <si>
    <t>6105</t>
  </si>
  <si>
    <t>7886</t>
  </si>
  <si>
    <t>389</t>
  </si>
  <si>
    <t>2355</t>
  </si>
  <si>
    <t>5835</t>
  </si>
  <si>
    <t>7955</t>
  </si>
  <si>
    <t>298</t>
  </si>
  <si>
    <t>2645</t>
  </si>
  <si>
    <t>5504</t>
  </si>
  <si>
    <t>8119</t>
  </si>
  <si>
    <t>151</t>
  </si>
  <si>
    <t>3401</t>
  </si>
  <si>
    <t>4869</t>
  </si>
  <si>
    <t>7029</t>
  </si>
  <si>
    <t>1238</t>
  </si>
  <si>
    <t>1743</t>
  </si>
  <si>
    <t>6486</t>
  </si>
  <si>
    <t>7969</t>
  </si>
  <si>
    <t>5373</t>
  </si>
  <si>
    <t>2596</t>
  </si>
  <si>
    <t>7960</t>
  </si>
  <si>
    <t>1036</t>
  </si>
  <si>
    <t>6924</t>
  </si>
  <si>
    <t>5473</t>
  </si>
  <si>
    <t>2786</t>
  </si>
  <si>
    <t>951</t>
  </si>
  <si>
    <t>7302</t>
  </si>
  <si>
    <t>7086</t>
  </si>
  <si>
    <t>1159</t>
  </si>
  <si>
    <t>1626</t>
  </si>
  <si>
    <t>6583</t>
  </si>
  <si>
    <t>42</t>
  </si>
  <si>
    <t>4470</t>
  </si>
  <si>
    <t>6281</t>
  </si>
  <si>
    <t>1983</t>
  </si>
  <si>
    <t>1410</t>
  </si>
  <si>
    <t>6848</t>
  </si>
  <si>
    <t>8057</t>
  </si>
  <si>
    <t>213</t>
  </si>
  <si>
    <t>2731</t>
  </si>
  <si>
    <t>5402</t>
  </si>
  <si>
    <t>6234</t>
  </si>
  <si>
    <t>2043</t>
  </si>
  <si>
    <t>1370</t>
  </si>
  <si>
    <t>6892</t>
  </si>
  <si>
    <t>997</t>
  </si>
  <si>
    <t>7264</t>
  </si>
  <si>
    <t>142</t>
  </si>
  <si>
    <t>8007</t>
  </si>
  <si>
    <t>5975</t>
  </si>
  <si>
    <t>2032</t>
  </si>
  <si>
    <t>8002</t>
  </si>
  <si>
    <t>1268</t>
  </si>
  <si>
    <t>6734</t>
  </si>
  <si>
    <t>7826</t>
  </si>
  <si>
    <t>422</t>
  </si>
  <si>
    <t>2572</t>
  </si>
  <si>
    <t>5599</t>
  </si>
  <si>
    <t>365</t>
  </si>
  <si>
    <t>2995</t>
  </si>
  <si>
    <t>5205</t>
  </si>
  <si>
    <t>146</t>
  </si>
  <si>
    <t>20</t>
  </si>
  <si>
    <t>224</t>
  </si>
  <si>
    <t>3146</t>
  </si>
  <si>
    <t>5025</t>
  </si>
  <si>
    <t>7790</t>
  </si>
  <si>
    <t>478</t>
  </si>
  <si>
    <t>2569</t>
  </si>
  <si>
    <t>5640</t>
  </si>
  <si>
    <t>7160</t>
  </si>
  <si>
    <t>1100</t>
  </si>
  <si>
    <t>1861</t>
  </si>
  <si>
    <t>6326</t>
  </si>
  <si>
    <t>7945</t>
  </si>
  <si>
    <t>286</t>
  </si>
  <si>
    <t>2872</t>
  </si>
  <si>
    <t>8221</t>
  </si>
  <si>
    <t>6575</t>
  </si>
  <si>
    <t>1646</t>
  </si>
  <si>
    <t>8177</t>
  </si>
  <si>
    <t>1493</t>
  </si>
  <si>
    <t>6800</t>
  </si>
  <si>
    <t>1477</t>
  </si>
  <si>
    <t>6753</t>
  </si>
  <si>
    <t>7038</t>
  </si>
  <si>
    <t>1216</t>
  </si>
  <si>
    <t>1503</t>
  </si>
  <si>
    <t>6726</t>
  </si>
  <si>
    <t>7871</t>
  </si>
  <si>
    <t>393</t>
  </si>
  <si>
    <t>2499</t>
  </si>
  <si>
    <t>5707</t>
  </si>
  <si>
    <t>2924</t>
  </si>
  <si>
    <t>5261</t>
  </si>
  <si>
    <t>529</t>
  </si>
  <si>
    <t>6519</t>
  </si>
  <si>
    <t>1728</t>
  </si>
  <si>
    <t>1297</t>
  </si>
  <si>
    <t>6933</t>
  </si>
  <si>
    <t>2465</t>
  </si>
  <si>
    <t>313</t>
  </si>
  <si>
    <t>8211</t>
  </si>
  <si>
    <t>56</t>
  </si>
  <si>
    <t>3814</t>
  </si>
  <si>
    <t>4453</t>
  </si>
  <si>
    <t>8069</t>
  </si>
  <si>
    <t>168</t>
  </si>
  <si>
    <t>3095</t>
  </si>
  <si>
    <t>5033</t>
  </si>
  <si>
    <t>8122</t>
  </si>
  <si>
    <t>106</t>
  </si>
  <si>
    <t>2952</t>
  </si>
  <si>
    <t>5195</t>
  </si>
  <si>
    <t>7530</t>
  </si>
  <si>
    <t>739</t>
  </si>
  <si>
    <t>1751</t>
  </si>
  <si>
    <t>411</t>
  </si>
  <si>
    <t>2079</t>
  </si>
  <si>
    <t>6151</t>
  </si>
  <si>
    <t>732</t>
  </si>
  <si>
    <t>2054</t>
  </si>
  <si>
    <t>2909</t>
  </si>
  <si>
    <t>145</t>
  </si>
  <si>
    <t>8093</t>
  </si>
  <si>
    <t>4117</t>
  </si>
  <si>
    <t>4165</t>
  </si>
  <si>
    <t>7541</t>
  </si>
  <si>
    <t>707</t>
  </si>
  <si>
    <t>2287</t>
  </si>
  <si>
    <t>5925</t>
  </si>
  <si>
    <t>6465</t>
  </si>
  <si>
    <t>1801</t>
  </si>
  <si>
    <t>1414</t>
  </si>
  <si>
    <t>1326</t>
  </si>
  <si>
    <t>57</t>
  </si>
  <si>
    <t>2430</t>
  </si>
  <si>
    <t>5775</t>
  </si>
  <si>
    <t>373</t>
  </si>
  <si>
    <t>7887</t>
  </si>
  <si>
    <t>230</t>
  </si>
  <si>
    <t>2622</t>
  </si>
  <si>
    <t>5561</t>
  </si>
  <si>
    <t>7920</t>
  </si>
  <si>
    <t>8170</t>
  </si>
  <si>
    <t>2781</t>
  </si>
  <si>
    <t>5389</t>
  </si>
  <si>
    <t>7822</t>
  </si>
  <si>
    <t>454</t>
  </si>
  <si>
    <t>5711</t>
  </si>
  <si>
    <t>74</t>
  </si>
  <si>
    <t>7</t>
  </si>
  <si>
    <t>8144</t>
  </si>
  <si>
    <t>131</t>
  </si>
  <si>
    <t>3358</t>
  </si>
  <si>
    <t>4687</t>
  </si>
  <si>
    <t>2991</t>
  </si>
  <si>
    <t>985</t>
  </si>
  <si>
    <t>7275</t>
  </si>
  <si>
    <t>7967</t>
  </si>
  <si>
    <t>8178</t>
  </si>
  <si>
    <t>3044</t>
  </si>
  <si>
    <t>383</t>
  </si>
  <si>
    <t>7892</t>
  </si>
  <si>
    <t>4198</t>
  </si>
  <si>
    <t>4074</t>
  </si>
  <si>
    <t>73</t>
  </si>
  <si>
    <t>3919</t>
  </si>
  <si>
    <t>4366</t>
  </si>
  <si>
    <t>285</t>
  </si>
  <si>
    <t>2933</t>
  </si>
  <si>
    <t>5295</t>
  </si>
  <si>
    <t>6324</t>
  </si>
  <si>
    <t>1262</t>
  </si>
  <si>
    <t>7007</t>
  </si>
  <si>
    <t>5160</t>
  </si>
  <si>
    <t>3116</t>
  </si>
  <si>
    <t>954</t>
  </si>
  <si>
    <t>7319</t>
  </si>
  <si>
    <t>7995</t>
  </si>
  <si>
    <t>5544</t>
  </si>
  <si>
    <t>2451</t>
  </si>
  <si>
    <t>7983</t>
  </si>
  <si>
    <t>974</t>
  </si>
  <si>
    <t>4306</t>
  </si>
  <si>
    <t>418</t>
  </si>
  <si>
    <t>7844</t>
  </si>
  <si>
    <t>6900</t>
  </si>
  <si>
    <t>1365</t>
  </si>
  <si>
    <t>6625</t>
  </si>
  <si>
    <t>75</t>
  </si>
  <si>
    <t>3991</t>
  </si>
  <si>
    <t>4287</t>
  </si>
  <si>
    <t>5919</t>
  </si>
  <si>
    <t>2351</t>
  </si>
  <si>
    <t>1126</t>
  </si>
  <si>
    <t>7138</t>
  </si>
  <si>
    <t>8085</t>
  </si>
  <si>
    <t>5393</t>
  </si>
  <si>
    <t>2692</t>
  </si>
  <si>
    <t>8078</t>
  </si>
  <si>
    <t>7046</t>
  </si>
  <si>
    <t>7736</t>
  </si>
  <si>
    <t>542</t>
  </si>
  <si>
    <t>6097</t>
  </si>
  <si>
    <t>6373</t>
  </si>
  <si>
    <t>1905</t>
  </si>
  <si>
    <t>1228</t>
  </si>
  <si>
    <t>7032</t>
  </si>
  <si>
    <t>3975</t>
  </si>
  <si>
    <t>4296</t>
  </si>
  <si>
    <t>687</t>
  </si>
  <si>
    <t>7581</t>
  </si>
  <si>
    <t>6966</t>
  </si>
  <si>
    <t>1310</t>
  </si>
  <si>
    <t>1535</t>
  </si>
  <si>
    <t>6729</t>
  </si>
  <si>
    <t>7105</t>
  </si>
  <si>
    <t>1170</t>
  </si>
  <si>
    <t>1747</t>
  </si>
  <si>
    <t>6488</t>
  </si>
  <si>
    <t>4208</t>
  </si>
  <si>
    <t>4058</t>
  </si>
  <si>
    <t>711</t>
  </si>
  <si>
    <t>7555</t>
  </si>
  <si>
    <t>3534</t>
  </si>
  <si>
    <t>4750</t>
  </si>
  <si>
    <t>3408</t>
  </si>
  <si>
    <t>4854</t>
  </si>
  <si>
    <t>4481</t>
  </si>
  <si>
    <t>3800</t>
  </si>
  <si>
    <t>845</t>
  </si>
  <si>
    <t>7436</t>
  </si>
  <si>
    <t>843</t>
  </si>
  <si>
    <t>1979</t>
  </si>
  <si>
    <t>6264</t>
  </si>
  <si>
    <t>7628</t>
  </si>
  <si>
    <t>648</t>
  </si>
  <si>
    <t>2270</t>
  </si>
  <si>
    <t>5965</t>
  </si>
  <si>
    <t>4382</t>
  </si>
  <si>
    <t>3886</t>
  </si>
  <si>
    <t>758</t>
  </si>
  <si>
    <t>7443</t>
  </si>
  <si>
    <t>1933</t>
  </si>
  <si>
    <t>6280</t>
  </si>
  <si>
    <t>7078</t>
  </si>
  <si>
    <t>1177</t>
  </si>
  <si>
    <t>1496</t>
  </si>
  <si>
    <t>6747</t>
  </si>
  <si>
    <t>6346</t>
  </si>
  <si>
    <t>1921</t>
  </si>
  <si>
    <t>1213</t>
  </si>
  <si>
    <t>4970</t>
  </si>
  <si>
    <t>3300</t>
  </si>
  <si>
    <t>889</t>
  </si>
  <si>
    <t>6676</t>
  </si>
  <si>
    <t>1595</t>
  </si>
  <si>
    <t>1501</t>
  </si>
  <si>
    <t>1470</t>
  </si>
  <si>
    <t>6768</t>
  </si>
  <si>
    <t>221</t>
  </si>
  <si>
    <t>3005</t>
  </si>
  <si>
    <t>5182</t>
  </si>
  <si>
    <t>7330</t>
  </si>
  <si>
    <t>930</t>
  </si>
  <si>
    <t>6248</t>
  </si>
  <si>
    <t>7079</t>
  </si>
  <si>
    <t>1186</t>
  </si>
  <si>
    <t>1848</t>
  </si>
  <si>
    <t>6351</t>
  </si>
  <si>
    <t>7898</t>
  </si>
  <si>
    <t>370</t>
  </si>
  <si>
    <t>2464</t>
  </si>
  <si>
    <t>7660</t>
  </si>
  <si>
    <t>2177</t>
  </si>
  <si>
    <t>6009</t>
  </si>
  <si>
    <t>1423</t>
  </si>
  <si>
    <t>6638</t>
  </si>
  <si>
    <t>1199</t>
  </si>
  <si>
    <t>6328</t>
  </si>
  <si>
    <t>6655</t>
  </si>
  <si>
    <t>1621</t>
  </si>
  <si>
    <t>6616</t>
  </si>
  <si>
    <t>6645</t>
  </si>
  <si>
    <t>1611</t>
  </si>
  <si>
    <t>1532</t>
  </si>
  <si>
    <t>6693</t>
  </si>
  <si>
    <t>3863</t>
  </si>
  <si>
    <t>4406</t>
  </si>
  <si>
    <t>7845</t>
  </si>
  <si>
    <t>403</t>
  </si>
  <si>
    <t>8175</t>
  </si>
  <si>
    <t>2567</t>
  </si>
  <si>
    <t>5608</t>
  </si>
  <si>
    <t>7821</t>
  </si>
  <si>
    <t>460</t>
  </si>
  <si>
    <t>2373</t>
  </si>
  <si>
    <t>5857</t>
  </si>
  <si>
    <t>4142</t>
  </si>
  <si>
    <t>4128</t>
  </si>
  <si>
    <t>609</t>
  </si>
  <si>
    <t>7661</t>
  </si>
  <si>
    <t>713</t>
  </si>
  <si>
    <t>2099</t>
  </si>
  <si>
    <t>6131</t>
  </si>
  <si>
    <t>7786</t>
  </si>
  <si>
    <t>484</t>
  </si>
  <si>
    <t>2694</t>
  </si>
  <si>
    <t>4785</t>
  </si>
  <si>
    <t>783</t>
  </si>
  <si>
    <t>7479</t>
  </si>
  <si>
    <t>7737</t>
  </si>
  <si>
    <t>527</t>
  </si>
  <si>
    <t>2564</t>
  </si>
  <si>
    <t>5646</t>
  </si>
  <si>
    <t>5943</t>
  </si>
  <si>
    <t>2301</t>
  </si>
  <si>
    <t>6935</t>
  </si>
  <si>
    <t>7700</t>
  </si>
  <si>
    <t>8193</t>
  </si>
  <si>
    <t>2235</t>
  </si>
  <si>
    <t>5958</t>
  </si>
  <si>
    <t>7946</t>
  </si>
  <si>
    <t>325</t>
  </si>
  <si>
    <t>2533</t>
  </si>
  <si>
    <t>5669</t>
  </si>
  <si>
    <t>7981</t>
  </si>
  <si>
    <t>283</t>
  </si>
  <si>
    <t>2594</t>
  </si>
  <si>
    <t>5598</t>
  </si>
  <si>
    <t>4269</t>
  </si>
  <si>
    <t>4009</t>
  </si>
  <si>
    <t>731</t>
  </si>
  <si>
    <t>7547</t>
  </si>
  <si>
    <t>91</t>
  </si>
  <si>
    <t>3471</t>
  </si>
  <si>
    <t>4786</t>
  </si>
  <si>
    <t>6903</t>
  </si>
  <si>
    <t>1379</t>
  </si>
  <si>
    <t>1666</t>
  </si>
  <si>
    <t>6584</t>
  </si>
  <si>
    <t>7172</t>
  </si>
  <si>
    <t>1095</t>
  </si>
  <si>
    <t>1522</t>
  </si>
  <si>
    <t>6719</t>
  </si>
  <si>
    <t>293</t>
  </si>
  <si>
    <t>2689</t>
  </si>
  <si>
    <t>5480</t>
  </si>
  <si>
    <t>4618</t>
  </si>
  <si>
    <t>3650</t>
  </si>
  <si>
    <t>960</t>
  </si>
  <si>
    <t>7308</t>
  </si>
  <si>
    <t>2361</t>
  </si>
  <si>
    <t>5860</t>
  </si>
  <si>
    <t>347</t>
  </si>
  <si>
    <t>6640</t>
  </si>
  <si>
    <t>163</t>
  </si>
  <si>
    <t>8112</t>
  </si>
  <si>
    <t>4424</t>
  </si>
  <si>
    <t>3857</t>
  </si>
  <si>
    <t>806</t>
  </si>
  <si>
    <t>2747</t>
  </si>
  <si>
    <t>5434</t>
  </si>
  <si>
    <t>459</t>
  </si>
  <si>
    <t>7797</t>
  </si>
  <si>
    <t>7034</t>
  </si>
  <si>
    <t>1223</t>
  </si>
  <si>
    <t>1989</t>
  </si>
  <si>
    <t>6189</t>
  </si>
  <si>
    <t>2202</t>
  </si>
  <si>
    <t>6015</t>
  </si>
  <si>
    <t>198</t>
  </si>
  <si>
    <t>7729</t>
  </si>
  <si>
    <t>541</t>
  </si>
  <si>
    <t>5600</t>
  </si>
  <si>
    <t>2245</t>
  </si>
  <si>
    <t>5963</t>
  </si>
  <si>
    <t>369</t>
  </si>
  <si>
    <t>238</t>
  </si>
  <si>
    <t>7859</t>
  </si>
  <si>
    <t>414</t>
  </si>
  <si>
    <t>8148</t>
  </si>
  <si>
    <t>2525</t>
  </si>
  <si>
    <t>5623</t>
  </si>
  <si>
    <t>5177</t>
  </si>
  <si>
    <t>3090</t>
  </si>
  <si>
    <t>969</t>
  </si>
  <si>
    <t>7295</t>
  </si>
  <si>
    <t>4098</t>
  </si>
  <si>
    <t>4171</t>
  </si>
  <si>
    <t>7582</t>
  </si>
  <si>
    <t>2475</t>
  </si>
  <si>
    <t>5741</t>
  </si>
  <si>
    <t>228</t>
  </si>
  <si>
    <t>8042</t>
  </si>
  <si>
    <t>611</t>
  </si>
  <si>
    <t>2164</t>
  </si>
  <si>
    <t>6043</t>
  </si>
  <si>
    <t>8082</t>
  </si>
  <si>
    <t>161</t>
  </si>
  <si>
    <t>8180</t>
  </si>
  <si>
    <t>3170</t>
  </si>
  <si>
    <t>5010</t>
  </si>
  <si>
    <t>1511</t>
  </si>
  <si>
    <t>6988</t>
  </si>
  <si>
    <t>7658</t>
  </si>
  <si>
    <t>601</t>
  </si>
  <si>
    <t>2222</t>
  </si>
  <si>
    <t>5988</t>
  </si>
  <si>
    <t>6392</t>
  </si>
  <si>
    <t>1887</t>
  </si>
  <si>
    <t>1376</t>
  </si>
  <si>
    <t>6887</t>
  </si>
  <si>
    <t>1133</t>
  </si>
  <si>
    <t>1819</t>
  </si>
  <si>
    <t>6401</t>
  </si>
  <si>
    <t>6740</t>
  </si>
  <si>
    <t>1351</t>
  </si>
  <si>
    <t>6909</t>
  </si>
  <si>
    <t>4362</t>
  </si>
  <si>
    <t>399</t>
  </si>
  <si>
    <t>7869</t>
  </si>
  <si>
    <t>46</t>
  </si>
  <si>
    <t>4292</t>
  </si>
  <si>
    <t>610</t>
  </si>
  <si>
    <t>88</t>
  </si>
  <si>
    <t>8006</t>
  </si>
  <si>
    <t>66</t>
  </si>
  <si>
    <t>3539</t>
  </si>
  <si>
    <t>4467</t>
  </si>
  <si>
    <t>7710</t>
  </si>
  <si>
    <t>548</t>
  </si>
  <si>
    <t>2420</t>
  </si>
  <si>
    <t>5791</t>
  </si>
  <si>
    <t>2236</t>
  </si>
  <si>
    <t>6005</t>
  </si>
  <si>
    <t>7973</t>
  </si>
  <si>
    <t>853</t>
  </si>
  <si>
    <t>7413</t>
  </si>
  <si>
    <t>97</t>
  </si>
  <si>
    <t>7143</t>
  </si>
  <si>
    <t>6391</t>
  </si>
  <si>
    <t>6694</t>
  </si>
  <si>
    <t>1563</t>
  </si>
  <si>
    <t>1466</t>
  </si>
  <si>
    <t>6765</t>
  </si>
  <si>
    <t>1179</t>
  </si>
  <si>
    <t>8135</t>
  </si>
  <si>
    <t>1717</t>
  </si>
  <si>
    <t>6418</t>
  </si>
  <si>
    <t>8127</t>
  </si>
  <si>
    <t>2675</t>
  </si>
  <si>
    <t>5452</t>
  </si>
  <si>
    <t>374</t>
  </si>
  <si>
    <t>5804</t>
  </si>
  <si>
    <t>2461</t>
  </si>
  <si>
    <t>1147</t>
  </si>
  <si>
    <t>7099</t>
  </si>
  <si>
    <t>3753</t>
  </si>
  <si>
    <t>4517</t>
  </si>
  <si>
    <t>593</t>
  </si>
  <si>
    <t>7677</t>
  </si>
  <si>
    <t>6516</t>
  </si>
  <si>
    <t>1403</t>
  </si>
  <si>
    <t>5778</t>
  </si>
  <si>
    <t>1059</t>
  </si>
  <si>
    <t>7208</t>
  </si>
  <si>
    <t>4056</t>
  </si>
  <si>
    <t>4215</t>
  </si>
  <si>
    <t>7678</t>
  </si>
  <si>
    <t>3333</t>
  </si>
  <si>
    <t>4941</t>
  </si>
  <si>
    <t>562</t>
  </si>
  <si>
    <t>7712</t>
  </si>
  <si>
    <t>6627</t>
  </si>
  <si>
    <t>1629</t>
  </si>
  <si>
    <t>1684</t>
  </si>
  <si>
    <t>5171</t>
  </si>
  <si>
    <t>3099</t>
  </si>
  <si>
    <t>1065</t>
  </si>
  <si>
    <t>7202</t>
  </si>
  <si>
    <t>4468</t>
  </si>
  <si>
    <t>3811</t>
  </si>
  <si>
    <t>7468</t>
  </si>
  <si>
    <t>4222</t>
  </si>
  <si>
    <t>4053</t>
  </si>
  <si>
    <t>670</t>
  </si>
  <si>
    <t>7605</t>
  </si>
  <si>
    <t>5909</t>
  </si>
  <si>
    <t>2367</t>
  </si>
  <si>
    <t>7094</t>
  </si>
  <si>
    <t>4798</t>
  </si>
  <si>
    <t>3459</t>
  </si>
  <si>
    <t>574</t>
  </si>
  <si>
    <t>7683</t>
  </si>
  <si>
    <t>3821</t>
  </si>
  <si>
    <t>4448</t>
  </si>
  <si>
    <t>7642</t>
  </si>
  <si>
    <t>4953</t>
  </si>
  <si>
    <t>3310</t>
  </si>
  <si>
    <t>786</t>
  </si>
  <si>
    <t>7477</t>
  </si>
  <si>
    <t>2755</t>
  </si>
  <si>
    <t>7329</t>
  </si>
  <si>
    <t>7632</t>
  </si>
  <si>
    <t>3710</t>
  </si>
  <si>
    <t>4572</t>
  </si>
  <si>
    <t>7666</t>
  </si>
  <si>
    <t>818</t>
  </si>
  <si>
    <t>7454</t>
  </si>
  <si>
    <t>4457</t>
  </si>
  <si>
    <t>3796</t>
  </si>
  <si>
    <t>5180</t>
  </si>
  <si>
    <t>3088</t>
  </si>
  <si>
    <t>824</t>
  </si>
  <si>
    <t>7441</t>
  </si>
  <si>
    <t>7451</t>
  </si>
  <si>
    <t>814</t>
  </si>
  <si>
    <t>2203</t>
  </si>
  <si>
    <t>6021</t>
  </si>
  <si>
    <t>5790</t>
  </si>
  <si>
    <t>2477</t>
  </si>
  <si>
    <t>1175</t>
  </si>
  <si>
    <t>7083</t>
  </si>
  <si>
    <t>5955</t>
  </si>
  <si>
    <t>2309</t>
  </si>
  <si>
    <t>1299</t>
  </si>
  <si>
    <t>6946</t>
  </si>
  <si>
    <t>4365</t>
  </si>
  <si>
    <t>3915</t>
  </si>
  <si>
    <t>681</t>
  </si>
  <si>
    <t>7599</t>
  </si>
  <si>
    <t>3392</t>
  </si>
  <si>
    <t>4885</t>
  </si>
  <si>
    <t>7801</t>
  </si>
  <si>
    <t>4071</t>
  </si>
  <si>
    <t>4186</t>
  </si>
  <si>
    <t>4201</t>
  </si>
  <si>
    <t>4073</t>
  </si>
  <si>
    <t>642</t>
  </si>
  <si>
    <t>3568</t>
  </si>
  <si>
    <t>4707</t>
  </si>
  <si>
    <t>612</t>
  </si>
  <si>
    <t>7663</t>
  </si>
  <si>
    <t>4813</t>
  </si>
  <si>
    <t>3442</t>
  </si>
  <si>
    <t>4830</t>
  </si>
  <si>
    <t>3437</t>
  </si>
  <si>
    <t>834</t>
  </si>
  <si>
    <t>7433</t>
  </si>
  <si>
    <t>4314</t>
  </si>
  <si>
    <t>3961</t>
  </si>
  <si>
    <t>4373</t>
  </si>
  <si>
    <t>3894</t>
  </si>
  <si>
    <t>703</t>
  </si>
  <si>
    <t>7564</t>
  </si>
  <si>
    <t>3946</t>
  </si>
  <si>
    <t>4324</t>
  </si>
  <si>
    <t>578</t>
  </si>
  <si>
    <t>4423</t>
  </si>
  <si>
    <t>3833</t>
  </si>
  <si>
    <t>743</t>
  </si>
  <si>
    <t>3981</t>
  </si>
  <si>
    <t>4298</t>
  </si>
  <si>
    <t>558</t>
  </si>
  <si>
    <t>6208</t>
  </si>
  <si>
    <t>1415</t>
  </si>
  <si>
    <t>3977</t>
  </si>
  <si>
    <t>4285</t>
  </si>
  <si>
    <t>579</t>
  </si>
  <si>
    <t>4804</t>
  </si>
  <si>
    <t>766</t>
  </si>
  <si>
    <t>7497</t>
  </si>
  <si>
    <t>6441</t>
  </si>
  <si>
    <t>1815</t>
  </si>
  <si>
    <t>186</t>
  </si>
  <si>
    <t>8073</t>
  </si>
  <si>
    <t>25</t>
  </si>
  <si>
    <t>2457</t>
  </si>
  <si>
    <t>5754</t>
  </si>
  <si>
    <t>5636</t>
  </si>
  <si>
    <t>7874</t>
  </si>
  <si>
    <t>4200</t>
  </si>
  <si>
    <t>7584</t>
  </si>
  <si>
    <t>5980</t>
  </si>
  <si>
    <t>2277</t>
  </si>
  <si>
    <t>7061</t>
  </si>
  <si>
    <t>5218</t>
  </si>
  <si>
    <t>1005</t>
  </si>
  <si>
    <t>7257</t>
  </si>
  <si>
    <t>4616</t>
  </si>
  <si>
    <t>3642</t>
  </si>
  <si>
    <t>6004</t>
  </si>
  <si>
    <t>2257</t>
  </si>
  <si>
    <t>7039</t>
  </si>
  <si>
    <t>8023</t>
  </si>
  <si>
    <t>2674</t>
  </si>
  <si>
    <t>5501</t>
  </si>
  <si>
    <t>E1O</t>
  </si>
  <si>
    <t>6766</t>
  </si>
  <si>
    <t>1536</t>
  </si>
  <si>
    <t>8298</t>
  </si>
  <si>
    <t>1584</t>
  </si>
  <si>
    <t>6714</t>
  </si>
  <si>
    <t>Target</t>
  </si>
  <si>
    <t>CI</t>
  </si>
  <si>
    <t>F4+</t>
  </si>
  <si>
    <t>E.coli</t>
  </si>
  <si>
    <t xml:space="preserve">E.coli </t>
  </si>
  <si>
    <t xml:space="preserve">P. piscinae </t>
  </si>
  <si>
    <t>S1.275-10</t>
  </si>
  <si>
    <t>S1.276-10</t>
  </si>
  <si>
    <t>S1.277-10</t>
  </si>
  <si>
    <t>S1.278-10</t>
  </si>
  <si>
    <t>S1.279-10</t>
  </si>
  <si>
    <t>S1.280</t>
  </si>
  <si>
    <t>S1.280-10</t>
  </si>
  <si>
    <t>S1.281</t>
  </si>
  <si>
    <t>S1.282-10</t>
  </si>
  <si>
    <t>S1.283-10</t>
  </si>
  <si>
    <t>S1.284-10</t>
  </si>
  <si>
    <t>S1.285-10</t>
  </si>
  <si>
    <t>S1.286-100</t>
  </si>
  <si>
    <t>S1.287-100</t>
  </si>
  <si>
    <t>S1.288</t>
  </si>
  <si>
    <t>S1.289-10</t>
  </si>
  <si>
    <t>S1.290</t>
  </si>
  <si>
    <t>S1.291-10</t>
  </si>
  <si>
    <t>S1.292-10</t>
  </si>
  <si>
    <t>S1.293-100</t>
  </si>
  <si>
    <t>S1.294-10</t>
  </si>
  <si>
    <t>S1.295-100</t>
  </si>
  <si>
    <t>S1.296-10</t>
  </si>
  <si>
    <t>S1.297</t>
  </si>
  <si>
    <t>S1.298-10</t>
  </si>
  <si>
    <t>S1.299</t>
  </si>
  <si>
    <t>S1.300-10</t>
  </si>
  <si>
    <t>S1.301-10</t>
  </si>
  <si>
    <t>S1.302-10</t>
  </si>
  <si>
    <t>S1.303-100</t>
  </si>
  <si>
    <t>S1.304-100</t>
  </si>
  <si>
    <t>S1.305-10</t>
  </si>
  <si>
    <t>S1.306-10</t>
  </si>
  <si>
    <t>S1.307-100</t>
  </si>
  <si>
    <t>S1.308-10</t>
  </si>
  <si>
    <t>S1.309-100</t>
  </si>
  <si>
    <t>S1.310-100</t>
  </si>
  <si>
    <t>S1.311-100</t>
  </si>
  <si>
    <t>S1.312-10</t>
  </si>
  <si>
    <t>S1.313-10</t>
  </si>
  <si>
    <t>S1.314-10</t>
  </si>
  <si>
    <t>S1.315-10</t>
  </si>
  <si>
    <t>S1.316-100</t>
  </si>
  <si>
    <t>S1.317-100</t>
  </si>
  <si>
    <t>S1.318-100</t>
  </si>
  <si>
    <t>S1.319-100</t>
  </si>
  <si>
    <t>S1.320-100</t>
  </si>
  <si>
    <t>S1.321-10</t>
  </si>
  <si>
    <t>S1.323-100</t>
  </si>
  <si>
    <t>S1.324-10</t>
  </si>
  <si>
    <t>S1.325-10</t>
  </si>
  <si>
    <t>S1.326-10</t>
  </si>
  <si>
    <t>S1.327-10</t>
  </si>
  <si>
    <t>S1.328-10</t>
  </si>
  <si>
    <t>S1.329-100</t>
  </si>
  <si>
    <t>S1.330</t>
  </si>
  <si>
    <t>S1.330-100</t>
  </si>
  <si>
    <t>S1.331-10</t>
  </si>
  <si>
    <t>S1.332-100</t>
  </si>
  <si>
    <t>S1.333-100</t>
  </si>
  <si>
    <t>S1.335-10</t>
  </si>
  <si>
    <t>S1.336-10</t>
  </si>
  <si>
    <t>S1.338-1000</t>
  </si>
  <si>
    <t>S1.339-100</t>
  </si>
  <si>
    <t>S1.340</t>
  </si>
  <si>
    <t>S1.341</t>
  </si>
  <si>
    <t>S1.342</t>
  </si>
  <si>
    <t>S1.343-10</t>
  </si>
  <si>
    <t>S1.344</t>
  </si>
  <si>
    <t>S1.345</t>
  </si>
  <si>
    <t>S1.346</t>
  </si>
  <si>
    <t>S1.347</t>
  </si>
  <si>
    <t>S1.348</t>
  </si>
  <si>
    <t>S1.349-10</t>
  </si>
  <si>
    <t>S1.350</t>
  </si>
  <si>
    <t>S1.351-10</t>
  </si>
  <si>
    <t>S1.352-10</t>
  </si>
  <si>
    <t>S1.353</t>
  </si>
  <si>
    <t>S1.354-10</t>
  </si>
  <si>
    <t>S1.355</t>
  </si>
  <si>
    <t>S1.356</t>
  </si>
  <si>
    <t>S1.357-10</t>
  </si>
  <si>
    <t>S1.358-10</t>
  </si>
  <si>
    <t>S1.359</t>
  </si>
  <si>
    <t>S1.360-100</t>
  </si>
  <si>
    <t>S1.361</t>
  </si>
  <si>
    <t>S1.362</t>
  </si>
  <si>
    <t>S1.363</t>
  </si>
  <si>
    <t>S1.364</t>
  </si>
  <si>
    <t>S1.365</t>
  </si>
  <si>
    <t>S1.366-10</t>
  </si>
  <si>
    <t>S1.367</t>
  </si>
  <si>
    <t>S1.368</t>
  </si>
  <si>
    <t>S1.369</t>
  </si>
  <si>
    <t>S1.370</t>
  </si>
  <si>
    <t>S1.371</t>
  </si>
  <si>
    <t>S1.372</t>
  </si>
  <si>
    <t>S1.373</t>
  </si>
  <si>
    <t>S1.374</t>
  </si>
  <si>
    <t>S1.375-10</t>
  </si>
  <si>
    <t>S1.376</t>
  </si>
  <si>
    <t>S1.377-10</t>
  </si>
  <si>
    <t>S1.378</t>
  </si>
  <si>
    <t>S1.379</t>
  </si>
  <si>
    <t>S1.382</t>
  </si>
  <si>
    <t>S1.383</t>
  </si>
  <si>
    <t>S1.384-10</t>
  </si>
  <si>
    <t>S1.385-10</t>
  </si>
  <si>
    <t>S1.386</t>
  </si>
  <si>
    <t>S1.387</t>
  </si>
  <si>
    <t>S1.388</t>
  </si>
  <si>
    <t>S1.389</t>
  </si>
  <si>
    <t>S1.390</t>
  </si>
  <si>
    <t>S1.391</t>
  </si>
  <si>
    <t>S1.392-10</t>
  </si>
  <si>
    <t>S1.394-10</t>
  </si>
  <si>
    <t>S1.395-10</t>
  </si>
  <si>
    <t>S1.396</t>
  </si>
  <si>
    <t>S1.397-1000</t>
  </si>
  <si>
    <t>S1.398-100</t>
  </si>
  <si>
    <t>S1.399-10</t>
  </si>
  <si>
    <t>S1.400-10</t>
  </si>
  <si>
    <t>S1.401</t>
  </si>
  <si>
    <t>S1.402-100</t>
  </si>
  <si>
    <t>S1.403-100</t>
  </si>
  <si>
    <t>S1.404-10</t>
  </si>
  <si>
    <t>S1.405-100</t>
  </si>
  <si>
    <t>S1.406-10</t>
  </si>
  <si>
    <t>S1.407-10</t>
  </si>
  <si>
    <t>S1.408-10</t>
  </si>
  <si>
    <t>S1.409-100</t>
  </si>
  <si>
    <t>S1.410-10</t>
  </si>
  <si>
    <t>S1.411-10</t>
  </si>
  <si>
    <t>S1.412-100</t>
  </si>
  <si>
    <t>S1.413-100</t>
  </si>
  <si>
    <t>S1.414-10</t>
  </si>
  <si>
    <t>S1.415</t>
  </si>
  <si>
    <t>S2.137-100</t>
  </si>
  <si>
    <t>S2.138-10</t>
  </si>
  <si>
    <t>S2.139-10</t>
  </si>
  <si>
    <t>S2.140</t>
  </si>
  <si>
    <t>S2.141-10</t>
  </si>
  <si>
    <t>S2.142</t>
  </si>
  <si>
    <t>S2.143-10</t>
  </si>
  <si>
    <t>S2.144-10</t>
  </si>
  <si>
    <t>S2.145-10</t>
  </si>
  <si>
    <t>S2.146-10</t>
  </si>
  <si>
    <t>S2.147-10</t>
  </si>
  <si>
    <t>S2.148-100</t>
  </si>
  <si>
    <t>S2.149-100</t>
  </si>
  <si>
    <t>S2.150-10</t>
  </si>
  <si>
    <t>S2.151-10</t>
  </si>
  <si>
    <t>S2.152-10</t>
  </si>
  <si>
    <t>S2.153</t>
  </si>
  <si>
    <t>S2.153-100</t>
  </si>
  <si>
    <t>S2.154-10</t>
  </si>
  <si>
    <t>S2.155-100</t>
  </si>
  <si>
    <t>S2.156-10</t>
  </si>
  <si>
    <t>S2.157-100</t>
  </si>
  <si>
    <t>S2.158-10</t>
  </si>
  <si>
    <t>S2.159</t>
  </si>
  <si>
    <t>S2.161-100</t>
  </si>
  <si>
    <t>S2.162-10</t>
  </si>
  <si>
    <t>S2.163-10</t>
  </si>
  <si>
    <t>S2.164-10</t>
  </si>
  <si>
    <t>S2.165-100</t>
  </si>
  <si>
    <t>S2.166-100</t>
  </si>
  <si>
    <t>S2.167-1000</t>
  </si>
  <si>
    <t>S2.168-100</t>
  </si>
  <si>
    <t>S2.169-10</t>
  </si>
  <si>
    <t>S2.170-100</t>
  </si>
  <si>
    <t>S2.171-100</t>
  </si>
  <si>
    <t>S2.172-10</t>
  </si>
  <si>
    <t>S2.173-100</t>
  </si>
  <si>
    <t>S2.174-10</t>
  </si>
  <si>
    <t>S2.175-10</t>
  </si>
  <si>
    <t>S2.176-100</t>
  </si>
  <si>
    <t>S2.177-100</t>
  </si>
  <si>
    <t>S2.178-100</t>
  </si>
  <si>
    <t>S2.179-10</t>
  </si>
  <si>
    <t>S2.180-10</t>
  </si>
  <si>
    <t>S2.181-10</t>
  </si>
  <si>
    <t>S2.182-100</t>
  </si>
  <si>
    <t>S2.183-100</t>
  </si>
  <si>
    <t>S2.184-10</t>
  </si>
  <si>
    <t>S2.185</t>
  </si>
  <si>
    <t>S2.186</t>
  </si>
  <si>
    <t>S2.187-100</t>
  </si>
  <si>
    <t>S2.188-100</t>
  </si>
  <si>
    <t>S2.189-100</t>
  </si>
  <si>
    <t>S2.190-100</t>
  </si>
  <si>
    <t>S2.191-1000</t>
  </si>
  <si>
    <t>S2.192-100</t>
  </si>
  <si>
    <t>S2.193-10</t>
  </si>
  <si>
    <t>S2.194</t>
  </si>
  <si>
    <t>S2.194-100</t>
  </si>
  <si>
    <t>S2.195-10</t>
  </si>
  <si>
    <t>S2.196-100</t>
  </si>
  <si>
    <t>S2.197-10</t>
  </si>
  <si>
    <t>S2.198-10</t>
  </si>
  <si>
    <t>S2.199-10</t>
  </si>
  <si>
    <t>S2.200-10</t>
  </si>
  <si>
    <t>S2.201-10</t>
  </si>
  <si>
    <t>S2.202-10</t>
  </si>
  <si>
    <t>S2.203-100</t>
  </si>
  <si>
    <t>S2.204-10</t>
  </si>
  <si>
    <t>S2.205-10</t>
  </si>
  <si>
    <t>S2.206-10</t>
  </si>
  <si>
    <t>S2.207-10</t>
  </si>
  <si>
    <t>S2.208-10</t>
  </si>
  <si>
    <t>S2.209-10</t>
  </si>
  <si>
    <t>S2.210-100</t>
  </si>
  <si>
    <t>S2.211-10</t>
  </si>
  <si>
    <t>S2.212-100</t>
  </si>
  <si>
    <t>S2.213-10</t>
  </si>
  <si>
    <t>S2.214-100</t>
  </si>
  <si>
    <t>S2.215-10</t>
  </si>
  <si>
    <t>S2.216-10</t>
  </si>
  <si>
    <t>S2.217</t>
  </si>
  <si>
    <t>S2.218-100</t>
  </si>
  <si>
    <t>S2.219-10</t>
  </si>
  <si>
    <t>S2.220-10</t>
  </si>
  <si>
    <t>S2.221</t>
  </si>
  <si>
    <t>S2.222</t>
  </si>
  <si>
    <t>S2.223</t>
  </si>
  <si>
    <t>S2.224</t>
  </si>
  <si>
    <t>S2.225</t>
  </si>
  <si>
    <t>S2.226</t>
  </si>
  <si>
    <t>S2.227</t>
  </si>
  <si>
    <t>S2.228</t>
  </si>
  <si>
    <t>S2.229</t>
  </si>
  <si>
    <t>S2.230</t>
  </si>
  <si>
    <t>S2.231</t>
  </si>
  <si>
    <t>S2.232-10</t>
  </si>
  <si>
    <t>S2.233</t>
  </si>
  <si>
    <t>S2.234-10</t>
  </si>
  <si>
    <t>S2.235-10</t>
  </si>
  <si>
    <t>S2.236-10</t>
  </si>
  <si>
    <t>S2.237-100</t>
  </si>
  <si>
    <t>S2.238</t>
  </si>
  <si>
    <t>S2.239</t>
  </si>
  <si>
    <t>S2.240</t>
  </si>
  <si>
    <t>S2.241-10</t>
  </si>
  <si>
    <t>S2.242</t>
  </si>
  <si>
    <t>S2.243-10</t>
  </si>
  <si>
    <t>S2.244</t>
  </si>
  <si>
    <t>S2.245-10</t>
  </si>
  <si>
    <t>S2.246</t>
  </si>
  <si>
    <t>S2.247</t>
  </si>
  <si>
    <t>S2.248</t>
  </si>
  <si>
    <t>S2.249</t>
  </si>
  <si>
    <t>S2.250</t>
  </si>
  <si>
    <t>S2.251</t>
  </si>
  <si>
    <t>S2.252</t>
  </si>
  <si>
    <t>S2.253</t>
  </si>
  <si>
    <t>S2.255</t>
  </si>
  <si>
    <t>S2.256-10</t>
  </si>
  <si>
    <t>S2.257-10</t>
  </si>
  <si>
    <t>S2.258-10</t>
  </si>
  <si>
    <t>S2.259</t>
  </si>
  <si>
    <t>S2.260-100</t>
  </si>
  <si>
    <t>S2.261-10</t>
  </si>
  <si>
    <t>S2.262</t>
  </si>
  <si>
    <t>S2.263</t>
  </si>
  <si>
    <t>S2.264</t>
  </si>
  <si>
    <t>S2.265</t>
  </si>
  <si>
    <t>S2.266</t>
  </si>
  <si>
    <t>S2.267</t>
  </si>
  <si>
    <t>S2.268</t>
  </si>
  <si>
    <t>S2.269</t>
  </si>
  <si>
    <t>S2.270</t>
  </si>
  <si>
    <t>S2.271</t>
  </si>
  <si>
    <t>S2.272</t>
  </si>
  <si>
    <t>S2.273</t>
  </si>
  <si>
    <t>S2.274-10</t>
  </si>
  <si>
    <t>S3.100</t>
  </si>
  <si>
    <t>S3.101</t>
  </si>
  <si>
    <t>S3.10-10</t>
  </si>
  <si>
    <t>S3.102</t>
  </si>
  <si>
    <t>S3.103-10</t>
  </si>
  <si>
    <t>S3.104</t>
  </si>
  <si>
    <t>S3.105</t>
  </si>
  <si>
    <t>S3.106</t>
  </si>
  <si>
    <t>S3.107</t>
  </si>
  <si>
    <t>S3.108</t>
  </si>
  <si>
    <t>S3.109</t>
  </si>
  <si>
    <t>S3.110</t>
  </si>
  <si>
    <t>S3.1-10</t>
  </si>
  <si>
    <t>S3.111</t>
  </si>
  <si>
    <t>S3.11-100</t>
  </si>
  <si>
    <t>S3.112</t>
  </si>
  <si>
    <t>S3.113</t>
  </si>
  <si>
    <t>S3.114</t>
  </si>
  <si>
    <t>S3.115</t>
  </si>
  <si>
    <t>S3.116</t>
  </si>
  <si>
    <t>S3.117</t>
  </si>
  <si>
    <t>S3.118-10</t>
  </si>
  <si>
    <t>S3.119</t>
  </si>
  <si>
    <t>S3.120</t>
  </si>
  <si>
    <t>S3.121</t>
  </si>
  <si>
    <t>S3.12-10</t>
  </si>
  <si>
    <t>S3.122</t>
  </si>
  <si>
    <t>S3.123</t>
  </si>
  <si>
    <t>S3.124</t>
  </si>
  <si>
    <t>S3.125</t>
  </si>
  <si>
    <t>S3.126</t>
  </si>
  <si>
    <t>S3.127-10</t>
  </si>
  <si>
    <t>S3.128</t>
  </si>
  <si>
    <t>S3.129</t>
  </si>
  <si>
    <t>S3.130</t>
  </si>
  <si>
    <t>S3.131</t>
  </si>
  <si>
    <t>S3.13-10</t>
  </si>
  <si>
    <t>S3.132</t>
  </si>
  <si>
    <t>S3.133</t>
  </si>
  <si>
    <t>S3.134-100</t>
  </si>
  <si>
    <t>S3.135</t>
  </si>
  <si>
    <t>S3.136</t>
  </si>
  <si>
    <t>S3.14</t>
  </si>
  <si>
    <t>S3.15-10</t>
  </si>
  <si>
    <t>S3.16-10</t>
  </si>
  <si>
    <t>S3.17-10</t>
  </si>
  <si>
    <t>S3.18</t>
  </si>
  <si>
    <t>S3.19</t>
  </si>
  <si>
    <t>S3.2</t>
  </si>
  <si>
    <t>S3.20</t>
  </si>
  <si>
    <t>S3.21</t>
  </si>
  <si>
    <t>S3.22</t>
  </si>
  <si>
    <t>S3.23-100</t>
  </si>
  <si>
    <t>S3.24-10</t>
  </si>
  <si>
    <t>S3.25-10</t>
  </si>
  <si>
    <t>S3.26-100</t>
  </si>
  <si>
    <t>S3.27</t>
  </si>
  <si>
    <t>S3.28-10</t>
  </si>
  <si>
    <t>S3.29-100</t>
  </si>
  <si>
    <t>S3.30-100</t>
  </si>
  <si>
    <t>S3.3-10</t>
  </si>
  <si>
    <t>S3.31-10</t>
  </si>
  <si>
    <t>S3.32-10</t>
  </si>
  <si>
    <t>S3.33-100</t>
  </si>
  <si>
    <t>S3.34-10</t>
  </si>
  <si>
    <t>S3.35-10</t>
  </si>
  <si>
    <t>S3.36-100</t>
  </si>
  <si>
    <t>S3.37</t>
  </si>
  <si>
    <t>S3.38-100</t>
  </si>
  <si>
    <t>S3.39-100</t>
  </si>
  <si>
    <t>S3.4</t>
  </si>
  <si>
    <t>S3.40-100</t>
  </si>
  <si>
    <t>S3.41-100</t>
  </si>
  <si>
    <t>S3.42-100</t>
  </si>
  <si>
    <t>S3.43-100</t>
  </si>
  <si>
    <t>S3.44-10</t>
  </si>
  <si>
    <t>S3.45-100</t>
  </si>
  <si>
    <t>S3.46-10</t>
  </si>
  <si>
    <t>S3.47-100</t>
  </si>
  <si>
    <t>S3.48-100</t>
  </si>
  <si>
    <t>S3.49-10</t>
  </si>
  <si>
    <t>S3.50-100</t>
  </si>
  <si>
    <t>S3.5-10</t>
  </si>
  <si>
    <t>S3.51-100</t>
  </si>
  <si>
    <t>S3.52-100</t>
  </si>
  <si>
    <t>S3.53-100</t>
  </si>
  <si>
    <t>S3.54-10</t>
  </si>
  <si>
    <t>S3.55-100</t>
  </si>
  <si>
    <t>S3.56-100</t>
  </si>
  <si>
    <t>S3.57-100</t>
  </si>
  <si>
    <t>S3.58-10</t>
  </si>
  <si>
    <t>S3.59-10</t>
  </si>
  <si>
    <t>S3.60-10</t>
  </si>
  <si>
    <t>S3.6-10</t>
  </si>
  <si>
    <t>S3.61-10</t>
  </si>
  <si>
    <t>S3.62-100</t>
  </si>
  <si>
    <t>S3.63-100</t>
  </si>
  <si>
    <t>S3.64-10</t>
  </si>
  <si>
    <t>S3.65-10</t>
  </si>
  <si>
    <t>S3.66-100</t>
  </si>
  <si>
    <t>S3.67-10</t>
  </si>
  <si>
    <t>S3.68-100</t>
  </si>
  <si>
    <t>S3.69-100</t>
  </si>
  <si>
    <t>S3.7</t>
  </si>
  <si>
    <t>S3.70-100</t>
  </si>
  <si>
    <t>S3.71-100</t>
  </si>
  <si>
    <t>S3.72-10</t>
  </si>
  <si>
    <t>S3.73-100</t>
  </si>
  <si>
    <t>S3.74-10</t>
  </si>
  <si>
    <t>S3.75-10</t>
  </si>
  <si>
    <t>S3.76-10</t>
  </si>
  <si>
    <t>S3.77-10</t>
  </si>
  <si>
    <t>S3.78-10</t>
  </si>
  <si>
    <t>S3.79-100</t>
  </si>
  <si>
    <t>S3.80-10</t>
  </si>
  <si>
    <t>S3.8-10</t>
  </si>
  <si>
    <t>S3.81-10</t>
  </si>
  <si>
    <t>S3.82-10</t>
  </si>
  <si>
    <t>S3.83</t>
  </si>
  <si>
    <t>S3.84</t>
  </si>
  <si>
    <t>S3.85</t>
  </si>
  <si>
    <t>S3.86</t>
  </si>
  <si>
    <t>S3.87</t>
  </si>
  <si>
    <t>S3.88</t>
  </si>
  <si>
    <t>S3.89</t>
  </si>
  <si>
    <t>S3.90</t>
  </si>
  <si>
    <t>S3.91</t>
  </si>
  <si>
    <t>S3.9-100</t>
  </si>
  <si>
    <t>S3.92</t>
  </si>
  <si>
    <t>S3.93</t>
  </si>
  <si>
    <t>S3.94-10</t>
  </si>
  <si>
    <t>S3.95-10</t>
  </si>
  <si>
    <t>S3.96</t>
  </si>
  <si>
    <t>S3.97</t>
  </si>
  <si>
    <t>S3.98</t>
  </si>
  <si>
    <t>S3.99-10</t>
  </si>
  <si>
    <t>16538</t>
  </si>
  <si>
    <t>16045</t>
  </si>
  <si>
    <t>24.89</t>
  </si>
  <si>
    <t>5.16</t>
  </si>
  <si>
    <t>16537</t>
  </si>
  <si>
    <t>69</t>
  </si>
  <si>
    <t>16468</t>
  </si>
  <si>
    <t>7.13</t>
  </si>
  <si>
    <t>16514</t>
  </si>
  <si>
    <t>48</t>
  </si>
  <si>
    <t>16466</t>
  </si>
  <si>
    <t>4.948</t>
  </si>
  <si>
    <t>8</t>
  </si>
  <si>
    <t>16506</t>
  </si>
  <si>
    <t>16525</t>
  </si>
  <si>
    <t>6</t>
  </si>
  <si>
    <t>16519</t>
  </si>
  <si>
    <t>5.1899999999999995</t>
  </si>
  <si>
    <t>16522</t>
  </si>
  <si>
    <t>16526</t>
  </si>
  <si>
    <t>5.002</t>
  </si>
  <si>
    <t>14.66</t>
  </si>
  <si>
    <t>2.725</t>
  </si>
  <si>
    <t>7.01</t>
  </si>
  <si>
    <t>6.63</t>
  </si>
  <si>
    <t>949</t>
  </si>
  <si>
    <t>55</t>
  </si>
  <si>
    <t>887</t>
  </si>
  <si>
    <t>60</t>
  </si>
  <si>
    <t>386</t>
  </si>
  <si>
    <t>138</t>
  </si>
  <si>
    <t>4464</t>
  </si>
  <si>
    <t>43</t>
  </si>
  <si>
    <t>174</t>
  </si>
  <si>
    <t>334</t>
  </si>
  <si>
    <t>4325</t>
  </si>
  <si>
    <t>35</t>
  </si>
  <si>
    <t>103</t>
  </si>
  <si>
    <t>1229</t>
  </si>
  <si>
    <t>3912</t>
  </si>
  <si>
    <t>3714</t>
  </si>
  <si>
    <t>2764</t>
  </si>
  <si>
    <t>7598</t>
  </si>
  <si>
    <t>1836</t>
  </si>
  <si>
    <t>4020</t>
  </si>
  <si>
    <t>3994</t>
  </si>
  <si>
    <t>4011</t>
  </si>
  <si>
    <t>S1.338-100</t>
  </si>
  <si>
    <t>1817</t>
  </si>
  <si>
    <t>S2.165-10</t>
  </si>
  <si>
    <t>8154</t>
  </si>
  <si>
    <t>6109</t>
  </si>
  <si>
    <t>5202</t>
  </si>
  <si>
    <t>6388</t>
  </si>
  <si>
    <t>S2.191-100</t>
  </si>
  <si>
    <t>S1.397-100</t>
  </si>
  <si>
    <t>S1.281-10</t>
  </si>
  <si>
    <t>S1.287-10</t>
  </si>
  <si>
    <t>S1.290-10</t>
  </si>
  <si>
    <t>S1.293-10</t>
  </si>
  <si>
    <t>S1.295-10</t>
  </si>
  <si>
    <t>S1.297-10</t>
  </si>
  <si>
    <t>S1.299-10</t>
  </si>
  <si>
    <t>S2.137-10</t>
  </si>
  <si>
    <t>S2.140-10</t>
  </si>
  <si>
    <t>S2.142-10</t>
  </si>
  <si>
    <t>S2.148-10</t>
  </si>
  <si>
    <t>S2.149-10</t>
  </si>
  <si>
    <t>S2.155-10</t>
  </si>
  <si>
    <t>S2.157-10</t>
  </si>
  <si>
    <t>S2.159-10</t>
  </si>
  <si>
    <t>S2.161-10</t>
  </si>
  <si>
    <t>S3.14-10</t>
  </si>
  <si>
    <t>S3.18-10</t>
  </si>
  <si>
    <t>S3.19-10</t>
  </si>
  <si>
    <t>S3.21-10</t>
  </si>
  <si>
    <t>S3.27-10</t>
  </si>
  <si>
    <t>S1.305-100</t>
  </si>
  <si>
    <t>S1.306-100</t>
  </si>
  <si>
    <t>ENV NAI</t>
  </si>
  <si>
    <t>purB</t>
  </si>
  <si>
    <t>L. amy</t>
  </si>
  <si>
    <t>L. reu</t>
  </si>
  <si>
    <t>4912</t>
  </si>
  <si>
    <t>3348</t>
  </si>
  <si>
    <t>2.654</t>
  </si>
  <si>
    <t>10.0</t>
  </si>
  <si>
    <t>6707</t>
  </si>
  <si>
    <t>13.39</t>
  </si>
  <si>
    <t>2.696</t>
  </si>
  <si>
    <t>7935</t>
  </si>
  <si>
    <t>8.29</t>
  </si>
  <si>
    <t>148</t>
  </si>
  <si>
    <t>8142</t>
  </si>
  <si>
    <t>14.03</t>
  </si>
  <si>
    <t>2.67</t>
  </si>
  <si>
    <t>1673</t>
  </si>
  <si>
    <t>6570</t>
  </si>
  <si>
    <t>12.11</t>
  </si>
  <si>
    <t>2227</t>
  </si>
  <si>
    <t>6029</t>
  </si>
  <si>
    <t>15.94</t>
  </si>
  <si>
    <t>2.697</t>
  </si>
  <si>
    <t>5100</t>
  </si>
  <si>
    <t>3186</t>
  </si>
  <si>
    <t>11.48</t>
  </si>
  <si>
    <t>2942</t>
  </si>
  <si>
    <t>2.683</t>
  </si>
  <si>
    <t>9.56</t>
  </si>
  <si>
    <t>3151</t>
  </si>
  <si>
    <t>5020</t>
  </si>
  <si>
    <t>2.701</t>
  </si>
  <si>
    <t>2247</t>
  </si>
  <si>
    <t>5996</t>
  </si>
  <si>
    <t>10.2</t>
  </si>
  <si>
    <t>7982</t>
  </si>
  <si>
    <t>297</t>
  </si>
  <si>
    <t>12.75</t>
  </si>
  <si>
    <t>2.65</t>
  </si>
  <si>
    <t>5140</t>
  </si>
  <si>
    <t>3139</t>
  </si>
  <si>
    <t>8054</t>
  </si>
  <si>
    <t>215</t>
  </si>
  <si>
    <t>15.3</t>
  </si>
  <si>
    <t>2.618</t>
  </si>
  <si>
    <t>8111</t>
  </si>
  <si>
    <t>158</t>
  </si>
  <si>
    <t>10.84</t>
  </si>
  <si>
    <t>6313</t>
  </si>
  <si>
    <t>1961</t>
  </si>
  <si>
    <t>2.637</t>
  </si>
  <si>
    <t>5610</t>
  </si>
  <si>
    <t>2664</t>
  </si>
  <si>
    <t>7891</t>
  </si>
  <si>
    <t>2.613</t>
  </si>
  <si>
    <t>3555</t>
  </si>
  <si>
    <t>19.76</t>
  </si>
  <si>
    <t>2544</t>
  </si>
  <si>
    <t>109</t>
  </si>
  <si>
    <t>2.658</t>
  </si>
  <si>
    <t>6784</t>
  </si>
  <si>
    <t>1498</t>
  </si>
  <si>
    <t>5057</t>
  </si>
  <si>
    <t>3220</t>
  </si>
  <si>
    <t>17.85</t>
  </si>
  <si>
    <t>2.616</t>
  </si>
  <si>
    <t>5067</t>
  </si>
  <si>
    <t>3210</t>
  </si>
  <si>
    <t>3675</t>
  </si>
  <si>
    <t>4604</t>
  </si>
  <si>
    <t>2.492</t>
  </si>
  <si>
    <t>262</t>
  </si>
  <si>
    <t>8017</t>
  </si>
  <si>
    <t>7748</t>
  </si>
  <si>
    <t>546</t>
  </si>
  <si>
    <t>2.574</t>
  </si>
  <si>
    <t>7250</t>
  </si>
  <si>
    <t>1044</t>
  </si>
  <si>
    <t>380</t>
  </si>
  <si>
    <t>16.58</t>
  </si>
  <si>
    <t>2.593</t>
  </si>
  <si>
    <t>7734</t>
  </si>
  <si>
    <t>545</t>
  </si>
  <si>
    <t>8137</t>
  </si>
  <si>
    <t>17.21</t>
  </si>
  <si>
    <t>2.716</t>
  </si>
  <si>
    <t>595</t>
  </si>
  <si>
    <t>3554</t>
  </si>
  <si>
    <t>4727</t>
  </si>
  <si>
    <t>2.66</t>
  </si>
  <si>
    <t>7979</t>
  </si>
  <si>
    <t>302</t>
  </si>
  <si>
    <t>4569</t>
  </si>
  <si>
    <t>2.586</t>
  </si>
  <si>
    <t>8097</t>
  </si>
  <si>
    <t>187</t>
  </si>
  <si>
    <t>7040</t>
  </si>
  <si>
    <t>2.5</t>
  </si>
  <si>
    <t>6117</t>
  </si>
  <si>
    <t>2913</t>
  </si>
  <si>
    <t>5305</t>
  </si>
  <si>
    <t>2.504</t>
  </si>
  <si>
    <t>7045</t>
  </si>
  <si>
    <t>1236</t>
  </si>
  <si>
    <t>1033</t>
  </si>
  <si>
    <t>7242</t>
  </si>
  <si>
    <t>2.505</t>
  </si>
  <si>
    <t>4933</t>
  </si>
  <si>
    <t>3345</t>
  </si>
  <si>
    <t>2.522</t>
  </si>
  <si>
    <t>5016</t>
  </si>
  <si>
    <t>3247</t>
  </si>
  <si>
    <t>2.609</t>
  </si>
  <si>
    <t>8162</t>
  </si>
  <si>
    <t>3420</t>
  </si>
  <si>
    <t>4848</t>
  </si>
  <si>
    <t>2.632</t>
  </si>
  <si>
    <t>2608</t>
  </si>
  <si>
    <t>5562</t>
  </si>
  <si>
    <t>2.622</t>
  </si>
  <si>
    <t>3697</t>
  </si>
  <si>
    <t>4562</t>
  </si>
  <si>
    <t>3520</t>
  </si>
  <si>
    <t>4764</t>
  </si>
  <si>
    <t>2.525</t>
  </si>
  <si>
    <t>8101</t>
  </si>
  <si>
    <t>183</t>
  </si>
  <si>
    <t>7873</t>
  </si>
  <si>
    <t>409</t>
  </si>
  <si>
    <t>2908</t>
  </si>
  <si>
    <t>5287</t>
  </si>
  <si>
    <t>1854</t>
  </si>
  <si>
    <t>6419</t>
  </si>
  <si>
    <t>2.442</t>
  </si>
  <si>
    <t>50</t>
  </si>
  <si>
    <t>7363</t>
  </si>
  <si>
    <t>2.488</t>
  </si>
  <si>
    <t>962</t>
  </si>
  <si>
    <t>7315</t>
  </si>
  <si>
    <t>2.517</t>
  </si>
  <si>
    <t>114</t>
  </si>
  <si>
    <t>2.625</t>
  </si>
  <si>
    <t>7566</t>
  </si>
  <si>
    <t>7532</t>
  </si>
  <si>
    <t>759</t>
  </si>
  <si>
    <t>2.635</t>
  </si>
  <si>
    <t>4679</t>
  </si>
  <si>
    <t>3612</t>
  </si>
  <si>
    <t>7324</t>
  </si>
  <si>
    <t>2.538</t>
  </si>
  <si>
    <t>7066</t>
  </si>
  <si>
    <t>953</t>
  </si>
  <si>
    <t>2.474</t>
  </si>
  <si>
    <t>6457</t>
  </si>
  <si>
    <t>1816</t>
  </si>
  <si>
    <t>8005</t>
  </si>
  <si>
    <t>272</t>
  </si>
  <si>
    <t>2.412</t>
  </si>
  <si>
    <t>4178</t>
  </si>
  <si>
    <t>4099</t>
  </si>
  <si>
    <t>7893</t>
  </si>
  <si>
    <t>2581</t>
  </si>
  <si>
    <t>5312</t>
  </si>
  <si>
    <t>2.467</t>
  </si>
  <si>
    <t>8011</t>
  </si>
  <si>
    <t>938</t>
  </si>
  <si>
    <t>8095</t>
  </si>
  <si>
    <t>177</t>
  </si>
  <si>
    <t>6559</t>
  </si>
  <si>
    <t>1713</t>
  </si>
  <si>
    <t>2168</t>
  </si>
  <si>
    <t>19.13</t>
  </si>
  <si>
    <t>2.61</t>
  </si>
  <si>
    <t>1914</t>
  </si>
  <si>
    <t>6296</t>
  </si>
  <si>
    <t>2.598</t>
  </si>
  <si>
    <t>6028</t>
  </si>
  <si>
    <t>2253</t>
  </si>
  <si>
    <t>8094</t>
  </si>
  <si>
    <t>6674</t>
  </si>
  <si>
    <t>1420</t>
  </si>
  <si>
    <t>2.516</t>
  </si>
  <si>
    <t>597</t>
  </si>
  <si>
    <t>7852</t>
  </si>
  <si>
    <t>2.432</t>
  </si>
  <si>
    <t>8000</t>
  </si>
  <si>
    <t>277</t>
  </si>
  <si>
    <t>11.73</t>
  </si>
  <si>
    <t>3558</t>
  </si>
  <si>
    <t>4733</t>
  </si>
  <si>
    <t>2.43</t>
  </si>
  <si>
    <t>6474</t>
  </si>
  <si>
    <t>4310</t>
  </si>
  <si>
    <t>2.458</t>
  </si>
  <si>
    <t>32</t>
  </si>
  <si>
    <t>7975</t>
  </si>
  <si>
    <t>19.83</t>
  </si>
  <si>
    <t>2.501</t>
  </si>
  <si>
    <t>7919</t>
  </si>
  <si>
    <t>8103</t>
  </si>
  <si>
    <t>2.614</t>
  </si>
  <si>
    <t>167</t>
  </si>
  <si>
    <t>3349</t>
  </si>
  <si>
    <t>4932</t>
  </si>
  <si>
    <t>299</t>
  </si>
  <si>
    <t>2.466</t>
  </si>
  <si>
    <t>7591</t>
  </si>
  <si>
    <t>400</t>
  </si>
  <si>
    <t>20.4</t>
  </si>
  <si>
    <t>2.483</t>
  </si>
  <si>
    <t>7636</t>
  </si>
  <si>
    <t>637</t>
  </si>
  <si>
    <t>7277</t>
  </si>
  <si>
    <t>2.449</t>
  </si>
  <si>
    <t>7618</t>
  </si>
  <si>
    <t>656</t>
  </si>
  <si>
    <t>4277</t>
  </si>
  <si>
    <t>3990</t>
  </si>
  <si>
    <t>18.49</t>
  </si>
  <si>
    <t>2.515</t>
  </si>
  <si>
    <t>5912</t>
  </si>
  <si>
    <t>4984</t>
  </si>
  <si>
    <t>3296</t>
  </si>
  <si>
    <t>847</t>
  </si>
  <si>
    <t>7881</t>
  </si>
  <si>
    <t>2884</t>
  </si>
  <si>
    <t>5343</t>
  </si>
  <si>
    <t>7629</t>
  </si>
  <si>
    <t>634</t>
  </si>
  <si>
    <t>4288</t>
  </si>
  <si>
    <t>3989</t>
  </si>
  <si>
    <t>2.482</t>
  </si>
  <si>
    <t>7.65</t>
  </si>
  <si>
    <t>136</t>
  </si>
  <si>
    <t>8152</t>
  </si>
  <si>
    <t>4335</t>
  </si>
  <si>
    <t>7465</t>
  </si>
  <si>
    <t>798</t>
  </si>
  <si>
    <t>2.649</t>
  </si>
  <si>
    <t>78</t>
  </si>
  <si>
    <t>19.62</t>
  </si>
  <si>
    <t>2.529</t>
  </si>
  <si>
    <t>5110</t>
  </si>
  <si>
    <t>3171</t>
  </si>
  <si>
    <t>852</t>
  </si>
  <si>
    <t>2.473</t>
  </si>
  <si>
    <t>7481</t>
  </si>
  <si>
    <t>800</t>
  </si>
  <si>
    <t>1935</t>
  </si>
  <si>
    <t>6271</t>
  </si>
  <si>
    <t>2.48</t>
  </si>
  <si>
    <t>3427</t>
  </si>
  <si>
    <t>6947</t>
  </si>
  <si>
    <t>1320</t>
  </si>
  <si>
    <t>2.542</t>
  </si>
  <si>
    <t>100.0</t>
  </si>
  <si>
    <t>3169</t>
  </si>
  <si>
    <t>2879</t>
  </si>
  <si>
    <t>5199</t>
  </si>
  <si>
    <t>2.497</t>
  </si>
  <si>
    <t>8074</t>
  </si>
  <si>
    <t>2330</t>
  </si>
  <si>
    <t>5744</t>
  </si>
  <si>
    <t>8191</t>
  </si>
  <si>
    <t>5381</t>
  </si>
  <si>
    <t>4472</t>
  </si>
  <si>
    <t>5529</t>
  </si>
  <si>
    <t>2417</t>
  </si>
  <si>
    <t>2.51</t>
  </si>
  <si>
    <t>5490</t>
  </si>
  <si>
    <t>2456</t>
  </si>
  <si>
    <t>4747</t>
  </si>
  <si>
    <t>3526</t>
  </si>
  <si>
    <t>2.559</t>
  </si>
  <si>
    <t>7456</t>
  </si>
  <si>
    <t>817</t>
  </si>
  <si>
    <t>6298</t>
  </si>
  <si>
    <t>2.652</t>
  </si>
  <si>
    <t>2557</t>
  </si>
  <si>
    <t>256</t>
  </si>
  <si>
    <t>7992</t>
  </si>
  <si>
    <t>2.62</t>
  </si>
  <si>
    <t>633</t>
  </si>
  <si>
    <t>7615</t>
  </si>
  <si>
    <t>2366</t>
  </si>
  <si>
    <t>2.591</t>
  </si>
  <si>
    <t>1000.0</t>
  </si>
  <si>
    <t>2.596</t>
  </si>
  <si>
    <t>4253</t>
  </si>
  <si>
    <t>1307</t>
  </si>
  <si>
    <t>6931</t>
  </si>
  <si>
    <t>21.04</t>
  </si>
  <si>
    <t>2.602</t>
  </si>
  <si>
    <t>2617</t>
  </si>
  <si>
    <t>13.01</t>
  </si>
  <si>
    <t>10.46</t>
  </si>
  <si>
    <t>14.28</t>
  </si>
  <si>
    <t>2.592</t>
  </si>
  <si>
    <t>2.645</t>
  </si>
  <si>
    <t>9.18</t>
  </si>
  <si>
    <t>1448</t>
  </si>
  <si>
    <t>6799</t>
  </si>
  <si>
    <t>7318</t>
  </si>
  <si>
    <t>958</t>
  </si>
  <si>
    <t>3801</t>
  </si>
  <si>
    <t>4475</t>
  </si>
  <si>
    <t>519</t>
  </si>
  <si>
    <t>6236</t>
  </si>
  <si>
    <t>2026</t>
  </si>
  <si>
    <t>4417</t>
  </si>
  <si>
    <t>3858</t>
  </si>
  <si>
    <t>6180</t>
  </si>
  <si>
    <t>2088</t>
  </si>
  <si>
    <t>2103</t>
  </si>
  <si>
    <t>6129</t>
  </si>
  <si>
    <t>740</t>
  </si>
  <si>
    <t>4319</t>
  </si>
  <si>
    <t>3943</t>
  </si>
  <si>
    <t>3571</t>
  </si>
  <si>
    <t>4691</t>
  </si>
  <si>
    <t>5318</t>
  </si>
  <si>
    <t>2949</t>
  </si>
  <si>
    <t>2115</t>
  </si>
  <si>
    <t>6145</t>
  </si>
  <si>
    <t>2640</t>
  </si>
  <si>
    <t>5521</t>
  </si>
  <si>
    <t>5609</t>
  </si>
  <si>
    <t>2671</t>
  </si>
  <si>
    <t>2197</t>
  </si>
  <si>
    <t>6052</t>
  </si>
  <si>
    <t>7603</t>
  </si>
  <si>
    <t>6870</t>
  </si>
  <si>
    <t>2667</t>
  </si>
  <si>
    <t>5523</t>
  </si>
  <si>
    <t>1510</t>
  </si>
  <si>
    <t>6736</t>
  </si>
  <si>
    <t>3028</t>
  </si>
  <si>
    <t>5194</t>
  </si>
  <si>
    <t>7685</t>
  </si>
  <si>
    <t>592</t>
  </si>
  <si>
    <t>6737</t>
  </si>
  <si>
    <t>2352</t>
  </si>
  <si>
    <t>4205</t>
  </si>
  <si>
    <t>4059</t>
  </si>
  <si>
    <t>2875</t>
  </si>
  <si>
    <t>6439</t>
  </si>
  <si>
    <t>3455</t>
  </si>
  <si>
    <t>4810</t>
  </si>
  <si>
    <t>1031</t>
  </si>
  <si>
    <t>1575</t>
  </si>
  <si>
    <t>6670</t>
  </si>
  <si>
    <t>6082</t>
  </si>
  <si>
    <t>2183</t>
  </si>
  <si>
    <t>3684</t>
  </si>
  <si>
    <t>6176</t>
  </si>
  <si>
    <t>2110</t>
  </si>
  <si>
    <t>6539</t>
  </si>
  <si>
    <t>1736</t>
  </si>
  <si>
    <t>2329</t>
  </si>
  <si>
    <t>5893</t>
  </si>
  <si>
    <t>6274</t>
  </si>
  <si>
    <t>1997</t>
  </si>
  <si>
    <t>7506</t>
  </si>
  <si>
    <t>753</t>
  </si>
  <si>
    <t>7251</t>
  </si>
  <si>
    <t>1008</t>
  </si>
  <si>
    <t>3758</t>
  </si>
  <si>
    <t>4486</t>
  </si>
  <si>
    <t>928</t>
  </si>
  <si>
    <t>4918</t>
  </si>
  <si>
    <t>8189</t>
  </si>
  <si>
    <t>5266</t>
  </si>
  <si>
    <t>474</t>
  </si>
  <si>
    <t>5981</t>
  </si>
  <si>
    <t>2292</t>
  </si>
  <si>
    <t>2961</t>
  </si>
  <si>
    <t>5240</t>
  </si>
  <si>
    <t>4326</t>
  </si>
  <si>
    <t>6612</t>
  </si>
  <si>
    <t>1659</t>
  </si>
  <si>
    <t>6495</t>
  </si>
  <si>
    <t>1776</t>
  </si>
  <si>
    <t>5334</t>
  </si>
  <si>
    <t>2925</t>
  </si>
  <si>
    <t>4878</t>
  </si>
  <si>
    <t>3381</t>
  </si>
  <si>
    <t>4125</t>
  </si>
  <si>
    <t>4130</t>
  </si>
  <si>
    <t>5847</t>
  </si>
  <si>
    <t>2408</t>
  </si>
  <si>
    <t>6704</t>
  </si>
  <si>
    <t>1583</t>
  </si>
  <si>
    <t>5698</t>
  </si>
  <si>
    <t>2589</t>
  </si>
  <si>
    <t>3488</t>
  </si>
  <si>
    <t>3671</t>
  </si>
  <si>
    <t>4603</t>
  </si>
  <si>
    <t>1573</t>
  </si>
  <si>
    <t>6678</t>
  </si>
  <si>
    <t>3004</t>
  </si>
  <si>
    <t>5678</t>
  </si>
  <si>
    <t>7220</t>
  </si>
  <si>
    <t>3304</t>
  </si>
  <si>
    <t>6852</t>
  </si>
  <si>
    <t>1417</t>
  </si>
  <si>
    <t>1868</t>
  </si>
  <si>
    <t>1897</t>
  </si>
  <si>
    <t>6299</t>
  </si>
  <si>
    <t>5977</t>
  </si>
  <si>
    <t>6182</t>
  </si>
  <si>
    <t>2078</t>
  </si>
  <si>
    <t>4266</t>
  </si>
  <si>
    <t>5842</t>
  </si>
  <si>
    <t>871</t>
  </si>
  <si>
    <t>7255</t>
  </si>
  <si>
    <t>8060</t>
  </si>
  <si>
    <t>3055</t>
  </si>
  <si>
    <t>5005</t>
  </si>
  <si>
    <t>8164</t>
  </si>
  <si>
    <t>6551</t>
  </si>
  <si>
    <t>5062</t>
  </si>
  <si>
    <t>3224</t>
  </si>
  <si>
    <t>4793</t>
  </si>
  <si>
    <t>3475</t>
  </si>
  <si>
    <t>4718</t>
  </si>
  <si>
    <t>3550</t>
  </si>
  <si>
    <t>5009</t>
  </si>
  <si>
    <t>3254</t>
  </si>
  <si>
    <t>4114</t>
  </si>
  <si>
    <t>4149</t>
  </si>
  <si>
    <t>6334</t>
  </si>
  <si>
    <t>5729</t>
  </si>
  <si>
    <t>7149</t>
  </si>
  <si>
    <t>1117</t>
  </si>
  <si>
    <t>4435</t>
  </si>
  <si>
    <t>3791</t>
  </si>
  <si>
    <t>8194</t>
  </si>
  <si>
    <t>5907</t>
  </si>
  <si>
    <t>1671</t>
  </si>
  <si>
    <t>8048</t>
  </si>
  <si>
    <t>6268</t>
  </si>
  <si>
    <t>2000</t>
  </si>
  <si>
    <t>5423</t>
  </si>
  <si>
    <t>2843</t>
  </si>
  <si>
    <t>7357</t>
  </si>
  <si>
    <t>913</t>
  </si>
  <si>
    <t>7245</t>
  </si>
  <si>
    <t>1025</t>
  </si>
  <si>
    <t>5284</t>
  </si>
  <si>
    <t>2987</t>
  </si>
  <si>
    <t>3129</t>
  </si>
  <si>
    <t>5027</t>
  </si>
  <si>
    <t>1966</t>
  </si>
  <si>
    <t>6200</t>
  </si>
  <si>
    <t>3749</t>
  </si>
  <si>
    <t>4514</t>
  </si>
  <si>
    <t>3761</t>
  </si>
  <si>
    <t>4502</t>
  </si>
  <si>
    <t>100</t>
  </si>
  <si>
    <t>1271</t>
  </si>
  <si>
    <t>6267</t>
  </si>
  <si>
    <t>676</t>
  </si>
  <si>
    <t>7305</t>
  </si>
  <si>
    <t>983</t>
  </si>
  <si>
    <t>4575</t>
  </si>
  <si>
    <t>3713</t>
  </si>
  <si>
    <t>2520</t>
  </si>
  <si>
    <t>5687</t>
  </si>
  <si>
    <t>3384</t>
  </si>
  <si>
    <t>4908</t>
  </si>
  <si>
    <t>2916</t>
  </si>
  <si>
    <t>5256</t>
  </si>
  <si>
    <t>3410</t>
  </si>
  <si>
    <t>4856</t>
  </si>
  <si>
    <t>775</t>
  </si>
  <si>
    <t>7484</t>
  </si>
  <si>
    <t>2696</t>
  </si>
  <si>
    <t>2784</t>
  </si>
  <si>
    <t>5356</t>
  </si>
  <si>
    <t>6115</t>
  </si>
  <si>
    <t>2149</t>
  </si>
  <si>
    <t>4174</t>
  </si>
  <si>
    <t>4090</t>
  </si>
  <si>
    <t>7284</t>
  </si>
  <si>
    <t>991</t>
  </si>
  <si>
    <t>5041</t>
  </si>
  <si>
    <t>3234</t>
  </si>
  <si>
    <t>2811</t>
  </si>
  <si>
    <t>5583</t>
  </si>
  <si>
    <t>2680</t>
  </si>
  <si>
    <t>5982</t>
  </si>
  <si>
    <t>2285</t>
  </si>
  <si>
    <t>6417</t>
  </si>
  <si>
    <t>1858</t>
  </si>
  <si>
    <t>2339</t>
  </si>
  <si>
    <t>5892</t>
  </si>
  <si>
    <t>5906</t>
  </si>
  <si>
    <t>5931</t>
  </si>
  <si>
    <t>2338</t>
  </si>
  <si>
    <t>8098</t>
  </si>
  <si>
    <t>169</t>
  </si>
  <si>
    <t>1986</t>
  </si>
  <si>
    <t>5151</t>
  </si>
  <si>
    <t>3114</t>
  </si>
  <si>
    <t>5137</t>
  </si>
  <si>
    <t>3128</t>
  </si>
  <si>
    <t>1156</t>
  </si>
  <si>
    <t>6573</t>
  </si>
  <si>
    <t>4574</t>
  </si>
  <si>
    <t>4062</t>
  </si>
  <si>
    <t>4206</t>
  </si>
  <si>
    <t>8160</t>
  </si>
  <si>
    <t>6705</t>
  </si>
  <si>
    <t>1455</t>
  </si>
  <si>
    <t>8071</t>
  </si>
  <si>
    <t>2918</t>
  </si>
  <si>
    <t>5153</t>
  </si>
  <si>
    <t>4867</t>
  </si>
  <si>
    <t>4054</t>
  </si>
  <si>
    <t>4207</t>
  </si>
  <si>
    <t>5138</t>
  </si>
  <si>
    <t>3125</t>
  </si>
  <si>
    <t>3473</t>
  </si>
  <si>
    <t>3362</t>
  </si>
  <si>
    <t>4886</t>
  </si>
  <si>
    <t>5779</t>
  </si>
  <si>
    <t>3667</t>
  </si>
  <si>
    <t>4549</t>
  </si>
  <si>
    <t>6374</t>
  </si>
  <si>
    <t>1842</t>
  </si>
  <si>
    <t>4081</t>
  </si>
  <si>
    <t>4185</t>
  </si>
  <si>
    <t>5889</t>
  </si>
  <si>
    <t>4630</t>
  </si>
  <si>
    <t>2831</t>
  </si>
  <si>
    <t>4033</t>
  </si>
  <si>
    <t>4240</t>
  </si>
  <si>
    <t>5904</t>
  </si>
  <si>
    <t>8174</t>
  </si>
  <si>
    <t>2707</t>
  </si>
  <si>
    <t>5467</t>
  </si>
  <si>
    <t>6134</t>
  </si>
  <si>
    <t>2151</t>
  </si>
  <si>
    <t>1337</t>
  </si>
  <si>
    <t>7991</t>
  </si>
  <si>
    <t>3203</t>
  </si>
  <si>
    <t>4788</t>
  </si>
  <si>
    <t>6314</t>
  </si>
  <si>
    <t>1945</t>
  </si>
  <si>
    <t>3336</t>
  </si>
  <si>
    <t>4922</t>
  </si>
  <si>
    <t>7206</t>
  </si>
  <si>
    <t>2263</t>
  </si>
  <si>
    <t>5927</t>
  </si>
  <si>
    <t>S1.313-100</t>
  </si>
  <si>
    <t>S1.314-100</t>
  </si>
  <si>
    <t>S1.315-100</t>
  </si>
  <si>
    <t>S1.317</t>
  </si>
  <si>
    <t>S1.319-10</t>
  </si>
  <si>
    <t>S1.321-100</t>
  </si>
  <si>
    <t>S1.326-100</t>
  </si>
  <si>
    <t>S1.327-100</t>
  </si>
  <si>
    <t>S1.328-100</t>
  </si>
  <si>
    <t>S1.335-100</t>
  </si>
  <si>
    <t>S1.336-100</t>
  </si>
  <si>
    <t>S2.164-100</t>
  </si>
  <si>
    <t>S2.167-100</t>
  </si>
  <si>
    <t>S2.169-100</t>
  </si>
  <si>
    <t>S2.172-100</t>
  </si>
  <si>
    <t>S2.174-100</t>
  </si>
  <si>
    <t>S2.175-100</t>
  </si>
  <si>
    <t>S2.179-100</t>
  </si>
  <si>
    <t>S2.180-100</t>
  </si>
  <si>
    <t>S2.181-100</t>
  </si>
  <si>
    <t>S2.184-100</t>
  </si>
  <si>
    <t>S2.185-100</t>
  </si>
  <si>
    <t>S2.186-100</t>
  </si>
  <si>
    <t>S3.28-100</t>
  </si>
  <si>
    <t>S3.31-100</t>
  </si>
  <si>
    <t>S3.32-100</t>
  </si>
  <si>
    <t>S3.34-100</t>
  </si>
  <si>
    <t>S3.35-100</t>
  </si>
  <si>
    <t>S3.37-100</t>
  </si>
  <si>
    <t>S3.44-100</t>
  </si>
  <si>
    <t>S3.49-100</t>
  </si>
  <si>
    <t>S1.324-100</t>
  </si>
  <si>
    <t>S1.325-100</t>
  </si>
  <si>
    <t>S1.331-100</t>
  </si>
  <si>
    <t>S1.394-100</t>
  </si>
  <si>
    <t>S1.395-100</t>
  </si>
  <si>
    <t>S1.396-100</t>
  </si>
  <si>
    <t>S1.399-100</t>
  </si>
  <si>
    <t>S1.400-100</t>
  </si>
  <si>
    <t>S1.401-100</t>
  </si>
  <si>
    <t>L2</t>
  </si>
  <si>
    <t>L3</t>
  </si>
  <si>
    <t>S1.404-100</t>
  </si>
  <si>
    <t>S2.197-100</t>
  </si>
  <si>
    <t>S2.205-100</t>
  </si>
  <si>
    <t>S2.213-100</t>
  </si>
  <si>
    <t>S3.64-100</t>
  </si>
  <si>
    <t>S3.72-100</t>
  </si>
  <si>
    <t>S1.347-100</t>
  </si>
  <si>
    <t>S1.355-100</t>
  </si>
  <si>
    <t>S1.363-100</t>
  </si>
  <si>
    <t>S2.198-100</t>
  </si>
  <si>
    <t>S2.206-100</t>
  </si>
  <si>
    <t>S3.65-100</t>
  </si>
  <si>
    <t>S1.340-100</t>
  </si>
  <si>
    <t>S1.356-100</t>
  </si>
  <si>
    <t>S1.364-100</t>
  </si>
  <si>
    <t>S1.406-100</t>
  </si>
  <si>
    <t>S1.414-100</t>
  </si>
  <si>
    <t>S2.199-100</t>
  </si>
  <si>
    <t>S2.207-100</t>
  </si>
  <si>
    <t>S2.215-100</t>
  </si>
  <si>
    <t>S3.58-100</t>
  </si>
  <si>
    <t>S3.74-100</t>
  </si>
  <si>
    <t>S1.341-100</t>
  </si>
  <si>
    <t>S1.349-100</t>
  </si>
  <si>
    <t>S1.357-100</t>
  </si>
  <si>
    <t>S1.407-100</t>
  </si>
  <si>
    <t>S2.200-100</t>
  </si>
  <si>
    <t>S2.208-100</t>
  </si>
  <si>
    <t>S2.216-100</t>
  </si>
  <si>
    <t>S3.59-100</t>
  </si>
  <si>
    <t>S3.67-100</t>
  </si>
  <si>
    <t>S3.75-100</t>
  </si>
  <si>
    <t>S1.415-10</t>
  </si>
  <si>
    <t>S1.358-100</t>
  </si>
  <si>
    <t>S1.408-100</t>
  </si>
  <si>
    <t>S2.201-100</t>
  </si>
  <si>
    <t>S2.209-100</t>
  </si>
  <si>
    <t>S2.217-100</t>
  </si>
  <si>
    <t>S3.60-100</t>
  </si>
  <si>
    <t>S3.76-100</t>
  </si>
  <si>
    <t>S1.343-100</t>
  </si>
  <si>
    <t>S1.351-100</t>
  </si>
  <si>
    <t>S2.202-100</t>
  </si>
  <si>
    <t>S3.61-100</t>
  </si>
  <si>
    <t>S3.77-100</t>
  </si>
  <si>
    <t>S1.344-100</t>
  </si>
  <si>
    <t>S1.352-100</t>
  </si>
  <si>
    <t>S1.410-100</t>
  </si>
  <si>
    <t>S2.195-100</t>
  </si>
  <si>
    <t>S2.211-100</t>
  </si>
  <si>
    <t>S3.54-100</t>
  </si>
  <si>
    <t>S3.78-100</t>
  </si>
  <si>
    <t>S1.345-100</t>
  </si>
  <si>
    <t>S1.353-100</t>
  </si>
  <si>
    <t>S1.361-100</t>
  </si>
  <si>
    <t>S1.411-100</t>
  </si>
  <si>
    <t>S2.204-100</t>
  </si>
  <si>
    <t>S1.354-100</t>
  </si>
  <si>
    <t>S1.362-100</t>
  </si>
  <si>
    <t>4509</t>
  </si>
  <si>
    <t>2984</t>
  </si>
  <si>
    <t>5236</t>
  </si>
  <si>
    <t>4229</t>
  </si>
  <si>
    <t>4027</t>
  </si>
  <si>
    <t>4705</t>
  </si>
  <si>
    <t>3551</t>
  </si>
  <si>
    <t>7606</t>
  </si>
  <si>
    <t>2375</t>
  </si>
  <si>
    <t>5833</t>
  </si>
  <si>
    <t>8124</t>
  </si>
  <si>
    <t>3136</t>
  </si>
  <si>
    <t>4988</t>
  </si>
  <si>
    <t>3901</t>
  </si>
  <si>
    <t>4371</t>
  </si>
  <si>
    <t>7235</t>
  </si>
  <si>
    <t>6795</t>
  </si>
  <si>
    <t>2274</t>
  </si>
  <si>
    <t>2048</t>
  </si>
  <si>
    <t>6194</t>
  </si>
  <si>
    <t>1973</t>
  </si>
  <si>
    <t>3731</t>
  </si>
  <si>
    <t>4521</t>
  </si>
  <si>
    <t>5322</t>
  </si>
  <si>
    <t>2889</t>
  </si>
  <si>
    <t>3846</t>
  </si>
  <si>
    <t>3355</t>
  </si>
  <si>
    <t>4925</t>
  </si>
  <si>
    <t>6101</t>
  </si>
  <si>
    <t>2179</t>
  </si>
  <si>
    <t>4290</t>
  </si>
  <si>
    <t>5247</t>
  </si>
  <si>
    <t>3034</t>
  </si>
  <si>
    <t>3499</t>
  </si>
  <si>
    <t>4772</t>
  </si>
  <si>
    <t>3928</t>
  </si>
  <si>
    <t>4343</t>
  </si>
  <si>
    <t>4998</t>
  </si>
  <si>
    <t>3277</t>
  </si>
  <si>
    <t>6571</t>
  </si>
  <si>
    <t>1704</t>
  </si>
  <si>
    <t>5769</t>
  </si>
  <si>
    <t>2506</t>
  </si>
  <si>
    <t>6828</t>
  </si>
  <si>
    <t>1447</t>
  </si>
  <si>
    <t>1014</t>
  </si>
  <si>
    <t>7244</t>
  </si>
  <si>
    <t>7559</t>
  </si>
  <si>
    <t>5002</t>
  </si>
  <si>
    <t>3273</t>
  </si>
  <si>
    <t>6650</t>
  </si>
  <si>
    <t>1625</t>
  </si>
  <si>
    <t>5325</t>
  </si>
  <si>
    <t>4842</t>
  </si>
  <si>
    <t>3444</t>
  </si>
  <si>
    <t>5353</t>
  </si>
  <si>
    <t>2922</t>
  </si>
  <si>
    <t>4202</t>
  </si>
  <si>
    <t>6950</t>
  </si>
  <si>
    <t>1331</t>
  </si>
  <si>
    <t>2299</t>
  </si>
  <si>
    <t>6611</t>
  </si>
  <si>
    <t>6261</t>
  </si>
  <si>
    <t>5063</t>
  </si>
  <si>
    <t>3191</t>
  </si>
  <si>
    <t>3835</t>
  </si>
  <si>
    <t>4419</t>
  </si>
  <si>
    <t>5281</t>
  </si>
  <si>
    <t>2997</t>
  </si>
  <si>
    <t>4261</t>
  </si>
  <si>
    <t>3850</t>
  </si>
  <si>
    <t>4422</t>
  </si>
  <si>
    <t>4934</t>
  </si>
  <si>
    <t>3335</t>
  </si>
  <si>
    <t>4709</t>
  </si>
  <si>
    <t>3560</t>
  </si>
  <si>
    <t>4070</t>
  </si>
  <si>
    <t>5421</t>
  </si>
  <si>
    <t>2849</t>
  </si>
  <si>
    <t>1206</t>
  </si>
  <si>
    <t>7528</t>
  </si>
  <si>
    <t>6382</t>
  </si>
  <si>
    <t>2303</t>
  </si>
  <si>
    <t>2071</t>
  </si>
  <si>
    <t>6167</t>
  </si>
  <si>
    <t>2251</t>
  </si>
  <si>
    <t>5985</t>
  </si>
  <si>
    <t>5405</t>
  </si>
  <si>
    <t>2869</t>
  </si>
  <si>
    <t>4821</t>
  </si>
  <si>
    <t>3450</t>
  </si>
  <si>
    <t>4104</t>
  </si>
  <si>
    <t>4167</t>
  </si>
  <si>
    <t>1828</t>
  </si>
  <si>
    <t>7106</t>
  </si>
  <si>
    <t>1139</t>
  </si>
  <si>
    <t>5485</t>
  </si>
  <si>
    <t>2760</t>
  </si>
  <si>
    <t>4443</t>
  </si>
  <si>
    <t>3831</t>
  </si>
  <si>
    <t>5172</t>
  </si>
  <si>
    <t>3102</t>
  </si>
  <si>
    <t>2963</t>
  </si>
  <si>
    <t>5243</t>
  </si>
  <si>
    <t>2318</t>
  </si>
  <si>
    <t>1962</t>
  </si>
  <si>
    <t>6238</t>
  </si>
  <si>
    <t>2037</t>
  </si>
  <si>
    <t>3634</t>
  </si>
  <si>
    <t>4639</t>
  </si>
  <si>
    <t>2344</t>
  </si>
  <si>
    <t>5881</t>
  </si>
  <si>
    <t>5883</t>
  </si>
  <si>
    <t>5125</t>
  </si>
  <si>
    <t>5031</t>
  </si>
  <si>
    <t>3248</t>
  </si>
  <si>
    <t>5014</t>
  </si>
  <si>
    <t>3261</t>
  </si>
  <si>
    <t>4388</t>
  </si>
  <si>
    <t>3887</t>
  </si>
  <si>
    <t>5972</t>
  </si>
  <si>
    <t>2297</t>
  </si>
  <si>
    <t>7491</t>
  </si>
  <si>
    <t>5091</t>
  </si>
  <si>
    <t>2400</t>
  </si>
  <si>
    <t>7475</t>
  </si>
  <si>
    <t>2512</t>
  </si>
  <si>
    <t>4963</t>
  </si>
  <si>
    <t>5453</t>
  </si>
  <si>
    <t>2818</t>
  </si>
  <si>
    <t>5898</t>
  </si>
  <si>
    <t>4304</t>
  </si>
  <si>
    <t>5397</t>
  </si>
  <si>
    <t>749</t>
  </si>
  <si>
    <t>7522</t>
  </si>
  <si>
    <t>1101</t>
  </si>
  <si>
    <t>7151</t>
  </si>
  <si>
    <t>6582</t>
  </si>
  <si>
    <t>1698</t>
  </si>
  <si>
    <t>5352</t>
  </si>
  <si>
    <t>2928</t>
  </si>
  <si>
    <t>2266</t>
  </si>
  <si>
    <t>5139</t>
  </si>
  <si>
    <t>5662</t>
  </si>
  <si>
    <t>4576</t>
  </si>
  <si>
    <t>3865</t>
  </si>
  <si>
    <t>4402</t>
  </si>
  <si>
    <t>2714</t>
  </si>
  <si>
    <t>5440</t>
  </si>
  <si>
    <t>3048</t>
  </si>
  <si>
    <t>5129</t>
  </si>
  <si>
    <t>1018</t>
  </si>
  <si>
    <t>7230</t>
  </si>
  <si>
    <t>2163</t>
  </si>
  <si>
    <t>6037</t>
  </si>
  <si>
    <t>7327</t>
  </si>
  <si>
    <t>941</t>
  </si>
  <si>
    <t>2089</t>
  </si>
  <si>
    <t>7620</t>
  </si>
  <si>
    <t>655</t>
  </si>
  <si>
    <t>8125</t>
  </si>
  <si>
    <t>2741</t>
  </si>
  <si>
    <t>5384</t>
  </si>
  <si>
    <t>3097</t>
  </si>
  <si>
    <t>5114</t>
  </si>
  <si>
    <t>6185</t>
  </si>
  <si>
    <t>2094</t>
  </si>
  <si>
    <t>3148</t>
  </si>
  <si>
    <t>4992</t>
  </si>
  <si>
    <t>5486</t>
  </si>
  <si>
    <t>2787</t>
  </si>
  <si>
    <t>2012</t>
  </si>
  <si>
    <t>5673</t>
  </si>
  <si>
    <t>3150</t>
  </si>
  <si>
    <t>5055</t>
  </si>
  <si>
    <t>5323</t>
  </si>
  <si>
    <t>2955</t>
  </si>
  <si>
    <t>5003</t>
  </si>
  <si>
    <t>3269</t>
  </si>
  <si>
    <t>3741</t>
  </si>
  <si>
    <t>4531</t>
  </si>
  <si>
    <t>3893</t>
  </si>
  <si>
    <t>4378</t>
  </si>
  <si>
    <t>4010</t>
  </si>
  <si>
    <t>1388</t>
  </si>
  <si>
    <t>6863</t>
  </si>
  <si>
    <t>1954</t>
  </si>
  <si>
    <t>6231</t>
  </si>
  <si>
    <t>4348</t>
  </si>
  <si>
    <t>5127</t>
  </si>
  <si>
    <t>7949</t>
  </si>
  <si>
    <t>319</t>
  </si>
  <si>
    <t>5456</t>
  </si>
  <si>
    <t>6774</t>
  </si>
  <si>
    <t>1500</t>
  </si>
  <si>
    <t>2288</t>
  </si>
  <si>
    <t>5950</t>
  </si>
  <si>
    <t>4614</t>
  </si>
  <si>
    <t>3654</t>
  </si>
  <si>
    <t>1808</t>
  </si>
  <si>
    <t>1434</t>
  </si>
  <si>
    <t>2076</t>
  </si>
  <si>
    <t>6936</t>
  </si>
  <si>
    <t>1341</t>
  </si>
  <si>
    <t>2345</t>
  </si>
  <si>
    <t>5820</t>
  </si>
  <si>
    <t>4137</t>
  </si>
  <si>
    <t>4134</t>
  </si>
  <si>
    <t>4168</t>
  </si>
  <si>
    <t>2008</t>
  </si>
  <si>
    <t>6214</t>
  </si>
  <si>
    <t>3387</t>
  </si>
  <si>
    <t>4901</t>
  </si>
  <si>
    <t>1825</t>
  </si>
  <si>
    <t>6370</t>
  </si>
  <si>
    <t>1767</t>
  </si>
  <si>
    <t>6452</t>
  </si>
  <si>
    <t>3955</t>
  </si>
  <si>
    <t>2335</t>
  </si>
  <si>
    <t>6171</t>
  </si>
  <si>
    <t>3147</t>
  </si>
  <si>
    <t>5040</t>
  </si>
  <si>
    <t>5407</t>
  </si>
  <si>
    <t>2858</t>
  </si>
  <si>
    <t>5355</t>
  </si>
  <si>
    <t>3447</t>
  </si>
  <si>
    <t>4820</t>
  </si>
  <si>
    <t>1934</t>
  </si>
  <si>
    <t>4283</t>
  </si>
  <si>
    <t>3973</t>
  </si>
  <si>
    <t>2379</t>
  </si>
  <si>
    <t>7740</t>
  </si>
  <si>
    <t>515</t>
  </si>
  <si>
    <t>2341</t>
  </si>
  <si>
    <t>6472</t>
  </si>
  <si>
    <t>7902</t>
  </si>
  <si>
    <t>2289</t>
  </si>
  <si>
    <t>5613</t>
  </si>
  <si>
    <t>3639</t>
  </si>
  <si>
    <t>4321</t>
  </si>
  <si>
    <t>8102</t>
  </si>
  <si>
    <t>L4</t>
  </si>
  <si>
    <t>L5</t>
  </si>
  <si>
    <t>S1.342-100</t>
  </si>
  <si>
    <t>S2.234-100</t>
  </si>
  <si>
    <t>S2.242-100</t>
  </si>
  <si>
    <t>S3.103-100</t>
  </si>
  <si>
    <t>S3.83-100</t>
  </si>
  <si>
    <t>S3.91-100</t>
  </si>
  <si>
    <t>S3.99-100</t>
  </si>
  <si>
    <t>S2.253-100</t>
  </si>
  <si>
    <t>S1.389-100</t>
  </si>
  <si>
    <t>S2.251-100</t>
  </si>
  <si>
    <t>S2.219-100</t>
  </si>
  <si>
    <t>S2.227-100</t>
  </si>
  <si>
    <t>S2.235-100</t>
  </si>
  <si>
    <t>S2.243-100</t>
  </si>
  <si>
    <t>S3.84-100</t>
  </si>
  <si>
    <t>S3.92-100</t>
  </si>
  <si>
    <t>S1.365-100</t>
  </si>
  <si>
    <t>S1.373-100</t>
  </si>
  <si>
    <t>S1.382-100</t>
  </si>
  <si>
    <t>S1.390-100</t>
  </si>
  <si>
    <t>S2.252-100</t>
  </si>
  <si>
    <t>S2.220-100</t>
  </si>
  <si>
    <t>S2.228-100</t>
  </si>
  <si>
    <t>S2.236-100</t>
  </si>
  <si>
    <t>S2.244-100</t>
  </si>
  <si>
    <t>S3.105-100</t>
  </si>
  <si>
    <t>S3.85-100</t>
  </si>
  <si>
    <t>S3.93-100</t>
  </si>
  <si>
    <t>S1.366-100</t>
  </si>
  <si>
    <t>S1.374-100</t>
  </si>
  <si>
    <t>S1.383-100</t>
  </si>
  <si>
    <t>S1.391-100</t>
  </si>
  <si>
    <t>S2.221-100</t>
  </si>
  <si>
    <t>S2.229-100</t>
  </si>
  <si>
    <t>S2.245-100</t>
  </si>
  <si>
    <t>S3.106-100</t>
  </si>
  <si>
    <t>S3.86-100</t>
  </si>
  <si>
    <t>S3.94-100</t>
  </si>
  <si>
    <t>S1.367-100</t>
  </si>
  <si>
    <t>S1.375-100</t>
  </si>
  <si>
    <t>S1.384-100</t>
  </si>
  <si>
    <t>S1.392-100</t>
  </si>
  <si>
    <t>S2.222-100</t>
  </si>
  <si>
    <t>S2.238-100</t>
  </si>
  <si>
    <t>S2.246-100</t>
  </si>
  <si>
    <t>S3.107-100</t>
  </si>
  <si>
    <t>S3.87-100</t>
  </si>
  <si>
    <t>S3.95-100</t>
  </si>
  <si>
    <t>S1.368-100</t>
  </si>
  <si>
    <t>S1.376-100</t>
  </si>
  <si>
    <t>S1.385-100</t>
  </si>
  <si>
    <t>S2.247-100</t>
  </si>
  <si>
    <t>S2.223-100</t>
  </si>
  <si>
    <t>S2.231-100</t>
  </si>
  <si>
    <t>S2.239-100</t>
  </si>
  <si>
    <t>S3.100-100</t>
  </si>
  <si>
    <t>S3.108-100</t>
  </si>
  <si>
    <t>S3.88-100</t>
  </si>
  <si>
    <t>S3.96-100</t>
  </si>
  <si>
    <t>S1.369-100</t>
  </si>
  <si>
    <t>S1.377-100</t>
  </si>
  <si>
    <t>S1.386-100</t>
  </si>
  <si>
    <t>S2.248-100</t>
  </si>
  <si>
    <t>S2.224-100</t>
  </si>
  <si>
    <t>S2.232-100</t>
  </si>
  <si>
    <t>S2.240-100</t>
  </si>
  <si>
    <t>S3.101-100</t>
  </si>
  <si>
    <t>S3.81-100</t>
  </si>
  <si>
    <t>S3.89-100</t>
  </si>
  <si>
    <t>S3.97-100</t>
  </si>
  <si>
    <t>S1.370-100</t>
  </si>
  <si>
    <t>S1.378-100</t>
  </si>
  <si>
    <t>S1.387-100</t>
  </si>
  <si>
    <t>S2.249-100</t>
  </si>
  <si>
    <t>S2.225-100</t>
  </si>
  <si>
    <t>S2.233-100</t>
  </si>
  <si>
    <t>S2.241-100</t>
  </si>
  <si>
    <t>S3.102-100</t>
  </si>
  <si>
    <t>S3.82-100</t>
  </si>
  <si>
    <t>S3.90-100</t>
  </si>
  <si>
    <t>S3.98-100</t>
  </si>
  <si>
    <t>S1.371-100</t>
  </si>
  <si>
    <t>S1.379-100</t>
  </si>
  <si>
    <t>S1.388-100</t>
  </si>
  <si>
    <t>S2.250-100</t>
  </si>
  <si>
    <t>2300</t>
  </si>
  <si>
    <t>3635</t>
  </si>
  <si>
    <t>4631</t>
  </si>
  <si>
    <t>5113</t>
  </si>
  <si>
    <t>5604</t>
  </si>
  <si>
    <t>2659</t>
  </si>
  <si>
    <t>5059</t>
  </si>
  <si>
    <t>4995</t>
  </si>
  <si>
    <t>3287</t>
  </si>
  <si>
    <t>4800</t>
  </si>
  <si>
    <t>3464</t>
  </si>
  <si>
    <t>5767</t>
  </si>
  <si>
    <t>2497</t>
  </si>
  <si>
    <t>4445</t>
  </si>
  <si>
    <t>3813</t>
  </si>
  <si>
    <t>5672</t>
  </si>
  <si>
    <t>7621</t>
  </si>
  <si>
    <t>653</t>
  </si>
  <si>
    <t>6872</t>
  </si>
  <si>
    <t>1402</t>
  </si>
  <si>
    <t>7792</t>
  </si>
  <si>
    <t>496</t>
  </si>
  <si>
    <t>6479</t>
  </si>
  <si>
    <t>1809</t>
  </si>
  <si>
    <t>3643</t>
  </si>
  <si>
    <t>4624</t>
  </si>
  <si>
    <t>5193</t>
  </si>
  <si>
    <t>5459</t>
  </si>
  <si>
    <t>2690</t>
  </si>
  <si>
    <t>1148</t>
  </si>
  <si>
    <t>7089</t>
  </si>
  <si>
    <t>4145</t>
  </si>
  <si>
    <t>4105</t>
  </si>
  <si>
    <t>1761</t>
  </si>
  <si>
    <t>8036</t>
  </si>
  <si>
    <t>6624</t>
  </si>
  <si>
    <t>1391</t>
  </si>
  <si>
    <t>1398</t>
  </si>
  <si>
    <t>6819</t>
  </si>
  <si>
    <t>1644</t>
  </si>
  <si>
    <t>6578</t>
  </si>
  <si>
    <t>4455</t>
  </si>
  <si>
    <t>3810</t>
  </si>
  <si>
    <t>8061</t>
  </si>
  <si>
    <t>5338</t>
  </si>
  <si>
    <t>2723</t>
  </si>
  <si>
    <t>3456</t>
  </si>
  <si>
    <t>4605</t>
  </si>
  <si>
    <t>4948</t>
  </si>
  <si>
    <t>3322</t>
  </si>
  <si>
    <t>3945</t>
  </si>
  <si>
    <t>2968</t>
  </si>
  <si>
    <t>3137</t>
  </si>
  <si>
    <t>5093</t>
  </si>
  <si>
    <t>5686</t>
  </si>
  <si>
    <t>2602</t>
  </si>
  <si>
    <t>7439</t>
  </si>
  <si>
    <t>849</t>
  </si>
  <si>
    <t>2926</t>
  </si>
  <si>
    <t>5330</t>
  </si>
  <si>
    <t>5250</t>
  </si>
  <si>
    <t>3031</t>
  </si>
  <si>
    <t>4845</t>
  </si>
  <si>
    <t>5588</t>
  </si>
  <si>
    <t>2684</t>
  </si>
  <si>
    <t>5631</t>
  </si>
  <si>
    <t>2655</t>
  </si>
  <si>
    <t>7889</t>
  </si>
  <si>
    <t>397</t>
  </si>
  <si>
    <t>6675</t>
  </si>
  <si>
    <t>1578</t>
  </si>
  <si>
    <t>3982</t>
  </si>
  <si>
    <t>4295</t>
  </si>
  <si>
    <t>4318</t>
  </si>
  <si>
    <t>3963</t>
  </si>
  <si>
    <t>5913</t>
  </si>
  <si>
    <t>5572</t>
  </si>
  <si>
    <t>2702</t>
  </si>
  <si>
    <t>5457</t>
  </si>
  <si>
    <t>2817</t>
  </si>
  <si>
    <t>5478</t>
  </si>
  <si>
    <t>2452</t>
  </si>
  <si>
    <t>4745</t>
  </si>
  <si>
    <t>3185</t>
  </si>
  <si>
    <t>2782</t>
  </si>
  <si>
    <t>3359</t>
  </si>
  <si>
    <t>908</t>
  </si>
  <si>
    <t>6525</t>
  </si>
  <si>
    <t>1746</t>
  </si>
  <si>
    <t>5997</t>
  </si>
  <si>
    <t>5942</t>
  </si>
  <si>
    <t>2332</t>
  </si>
  <si>
    <t>5301</t>
  </si>
  <si>
    <t>2972</t>
  </si>
  <si>
    <t>596</t>
  </si>
  <si>
    <t>3199</t>
  </si>
  <si>
    <t>4997</t>
  </si>
  <si>
    <t>924</t>
  </si>
  <si>
    <t>2275</t>
  </si>
  <si>
    <t>5959</t>
  </si>
  <si>
    <t>5960</t>
  </si>
  <si>
    <t>2311</t>
  </si>
  <si>
    <t>2066</t>
  </si>
  <si>
    <t>6181</t>
  </si>
  <si>
    <t>2793</t>
  </si>
  <si>
    <t>1686</t>
  </si>
  <si>
    <t>6563</t>
  </si>
  <si>
    <t>3378</t>
  </si>
  <si>
    <t>4891</t>
  </si>
  <si>
    <t>4376</t>
  </si>
  <si>
    <t>1123</t>
  </si>
  <si>
    <t>7127</t>
  </si>
  <si>
    <t>2155</t>
  </si>
  <si>
    <t>6071</t>
  </si>
  <si>
    <t>5303</t>
  </si>
  <si>
    <t>2976</t>
  </si>
  <si>
    <t>1009</t>
  </si>
  <si>
    <t>7261</t>
  </si>
  <si>
    <t>5481</t>
  </si>
  <si>
    <t>2734</t>
  </si>
  <si>
    <t>4546</t>
  </si>
  <si>
    <t>4809</t>
  </si>
  <si>
    <t>3468</t>
  </si>
  <si>
    <t>3825</t>
  </si>
  <si>
    <t>4430</t>
  </si>
  <si>
    <t>3158</t>
  </si>
  <si>
    <t>5017</t>
  </si>
  <si>
    <t>3662</t>
  </si>
  <si>
    <t>5530</t>
  </si>
  <si>
    <t>2748</t>
  </si>
  <si>
    <t>7406</t>
  </si>
  <si>
    <t>872</t>
  </si>
  <si>
    <t>5244</t>
  </si>
  <si>
    <t>3040</t>
  </si>
  <si>
    <t>6732</t>
  </si>
  <si>
    <t>1552</t>
  </si>
  <si>
    <t>2233</t>
  </si>
  <si>
    <t>6011</t>
  </si>
  <si>
    <t>6001</t>
  </si>
  <si>
    <t>2281</t>
  </si>
  <si>
    <t>3770</t>
  </si>
  <si>
    <t>4491</t>
  </si>
  <si>
    <t>6279</t>
  </si>
  <si>
    <t>1600</t>
  </si>
  <si>
    <t>3307</t>
  </si>
  <si>
    <t>3567</t>
  </si>
  <si>
    <t>4688</t>
  </si>
  <si>
    <t>4700</t>
  </si>
  <si>
    <t>3931</t>
  </si>
  <si>
    <t>4336</t>
  </si>
  <si>
    <t>5234</t>
  </si>
  <si>
    <t>1710</t>
  </si>
  <si>
    <t>2597</t>
  </si>
  <si>
    <t>5580</t>
  </si>
  <si>
    <t>3363</t>
  </si>
  <si>
    <t>4911</t>
  </si>
  <si>
    <t>6433</t>
  </si>
  <si>
    <t>1850</t>
  </si>
  <si>
    <t>4227</t>
  </si>
  <si>
    <t>4040</t>
  </si>
  <si>
    <t>5858</t>
  </si>
  <si>
    <t>2409</t>
  </si>
  <si>
    <t>6822</t>
  </si>
  <si>
    <t>1441</t>
  </si>
  <si>
    <t>7704</t>
  </si>
  <si>
    <t>559</t>
  </si>
  <si>
    <t>3438</t>
  </si>
  <si>
    <t>4835</t>
  </si>
  <si>
    <t>6112</t>
  </si>
  <si>
    <t>2161</t>
  </si>
  <si>
    <t>4676</t>
  </si>
  <si>
    <t>3602</t>
  </si>
  <si>
    <t>6493</t>
  </si>
  <si>
    <t>1785</t>
  </si>
  <si>
    <t>7345</t>
  </si>
  <si>
    <t>2261</t>
  </si>
  <si>
    <t>3970</t>
  </si>
  <si>
    <t>2268</t>
  </si>
  <si>
    <t>2979</t>
  </si>
  <si>
    <t>5192</t>
  </si>
  <si>
    <t>4337</t>
  </si>
  <si>
    <t>3940</t>
  </si>
  <si>
    <t>3959</t>
  </si>
  <si>
    <t>2063</t>
  </si>
  <si>
    <t>4649</t>
  </si>
  <si>
    <t>5567</t>
  </si>
  <si>
    <t>2720</t>
  </si>
  <si>
    <t>4573</t>
  </si>
  <si>
    <t>5540</t>
  </si>
  <si>
    <t>2735</t>
  </si>
  <si>
    <t>5257</t>
  </si>
  <si>
    <t>1972</t>
  </si>
  <si>
    <t>1852</t>
  </si>
  <si>
    <t>6384</t>
  </si>
  <si>
    <t>6121</t>
  </si>
  <si>
    <t>2140</t>
  </si>
  <si>
    <t>8056</t>
  </si>
  <si>
    <t>205</t>
  </si>
  <si>
    <t>5525</t>
  </si>
  <si>
    <t>2736</t>
  </si>
  <si>
    <t>7112</t>
  </si>
  <si>
    <t>1149</t>
  </si>
  <si>
    <t>5169</t>
  </si>
  <si>
    <t>1340</t>
  </si>
  <si>
    <t>7842</t>
  </si>
  <si>
    <t>444</t>
  </si>
  <si>
    <t>1670</t>
  </si>
  <si>
    <t>6552</t>
  </si>
  <si>
    <t>2728</t>
  </si>
  <si>
    <t>5416</t>
  </si>
  <si>
    <t>5552</t>
  </si>
  <si>
    <t>3750</t>
  </si>
  <si>
    <t>4534</t>
  </si>
  <si>
    <t>2657</t>
  </si>
  <si>
    <t>5549</t>
  </si>
  <si>
    <t>1753</t>
  </si>
  <si>
    <t>6477</t>
  </si>
  <si>
    <t>4173</t>
  </si>
  <si>
    <t>2623</t>
  </si>
  <si>
    <t>5784</t>
  </si>
  <si>
    <t>2495</t>
  </si>
  <si>
    <t>5602</t>
  </si>
  <si>
    <t>2677</t>
  </si>
  <si>
    <t>1350</t>
  </si>
  <si>
    <t>1507</t>
  </si>
  <si>
    <t>7380</t>
  </si>
  <si>
    <t>2133</t>
  </si>
  <si>
    <t>4181</t>
  </si>
  <si>
    <t>1276</t>
  </si>
  <si>
    <t>1155</t>
  </si>
  <si>
    <t>7110</t>
  </si>
  <si>
    <t>4039</t>
  </si>
  <si>
    <t>4232</t>
  </si>
  <si>
    <t>5306</t>
  </si>
  <si>
    <t>2981</t>
  </si>
  <si>
    <t>6531</t>
  </si>
  <si>
    <t>6965</t>
  </si>
  <si>
    <t>1315</t>
  </si>
  <si>
    <t>7872</t>
  </si>
  <si>
    <t>408</t>
  </si>
  <si>
    <t>4496</t>
  </si>
  <si>
    <t>3765</t>
  </si>
  <si>
    <t>3219</t>
  </si>
  <si>
    <t>4958</t>
  </si>
  <si>
    <t>3652</t>
  </si>
  <si>
    <t>4611</t>
  </si>
  <si>
    <t>6689</t>
  </si>
  <si>
    <t>1568</t>
  </si>
  <si>
    <t>3952</t>
  </si>
  <si>
    <t>4100</t>
  </si>
  <si>
    <t>4084</t>
  </si>
  <si>
    <t>4248</t>
  </si>
  <si>
    <t>3611</t>
  </si>
  <si>
    <t>4811</t>
  </si>
  <si>
    <t>5132</t>
  </si>
  <si>
    <t>6806</t>
  </si>
  <si>
    <t>1457</t>
  </si>
  <si>
    <t>6983</t>
  </si>
  <si>
    <t>6063</t>
  </si>
  <si>
    <t>6216</t>
  </si>
  <si>
    <t>4219</t>
  </si>
  <si>
    <t>4049</t>
  </si>
  <si>
    <t>1015</t>
  </si>
  <si>
    <t>7808</t>
  </si>
  <si>
    <t>6728</t>
  </si>
  <si>
    <t>1080</t>
  </si>
  <si>
    <t>7953</t>
  </si>
  <si>
    <t>2548</t>
  </si>
  <si>
    <t>5445</t>
  </si>
  <si>
    <t>2591</t>
  </si>
  <si>
    <t>L.reuteri</t>
  </si>
  <si>
    <t>L.amylovorus</t>
  </si>
  <si>
    <t>L.amylovoarus</t>
  </si>
  <si>
    <t>L.amy+L.reu</t>
  </si>
  <si>
    <t>L.amy + L.reu</t>
  </si>
  <si>
    <t xml:space="preserve">L.amy + L.reu </t>
  </si>
  <si>
    <t>16L</t>
  </si>
  <si>
    <t>theo_16S</t>
  </si>
  <si>
    <t>theo_mg</t>
  </si>
  <si>
    <t>S2.254-100</t>
  </si>
  <si>
    <t>S2.255-100</t>
  </si>
  <si>
    <t>S2.256-100</t>
  </si>
  <si>
    <t>S2.257-100</t>
  </si>
  <si>
    <t>S2.258-100</t>
  </si>
  <si>
    <t>S2.259-100</t>
  </si>
  <si>
    <t>S2.261-100</t>
  </si>
  <si>
    <t>S2.262-100</t>
  </si>
  <si>
    <t>S2.263-100</t>
  </si>
  <si>
    <t>S2.264-100</t>
  </si>
  <si>
    <t>S2.265-100</t>
  </si>
  <si>
    <t>S2.266-100</t>
  </si>
  <si>
    <t>S2.267-100</t>
  </si>
  <si>
    <t>S2.268-100</t>
  </si>
  <si>
    <t>S2.269-100</t>
  </si>
  <si>
    <t>S2.271-100</t>
  </si>
  <si>
    <t>S2.272-100</t>
  </si>
  <si>
    <t>S2.273-100</t>
  </si>
  <si>
    <t>S2.274-100</t>
  </si>
  <si>
    <t>S3.109-100</t>
  </si>
  <si>
    <t>S3.110-100</t>
  </si>
  <si>
    <t>S3.111-100</t>
  </si>
  <si>
    <t>S3.112-100</t>
  </si>
  <si>
    <t>S3.113-100</t>
  </si>
  <si>
    <t>S3.114-100</t>
  </si>
  <si>
    <t>S3.115-100</t>
  </si>
  <si>
    <t>S3.116-100</t>
  </si>
  <si>
    <t>S3.117-100</t>
  </si>
  <si>
    <t>S3.118-100</t>
  </si>
  <si>
    <t>S3.120-100</t>
  </si>
  <si>
    <t>S3.121-100</t>
  </si>
  <si>
    <t>S3.122-100</t>
  </si>
  <si>
    <t>S3.123-100</t>
  </si>
  <si>
    <t>S3.124-100</t>
  </si>
  <si>
    <t>S3.125-100</t>
  </si>
  <si>
    <t>S3.126-100</t>
  </si>
  <si>
    <t>S3.127-100</t>
  </si>
  <si>
    <t>S3.128-100</t>
  </si>
  <si>
    <t>S3.129-100</t>
  </si>
  <si>
    <t>S3.130-100</t>
  </si>
  <si>
    <t>S3.131-100</t>
  </si>
  <si>
    <t>S3.132-100</t>
  </si>
  <si>
    <t>S3.133-100</t>
  </si>
  <si>
    <t>S3.135-100</t>
  </si>
  <si>
    <t>S3.136-100</t>
  </si>
  <si>
    <t>S1.312-1000</t>
  </si>
  <si>
    <t>S2.178-10</t>
  </si>
  <si>
    <t>S3.8-100</t>
  </si>
  <si>
    <t>S1.276-100</t>
  </si>
  <si>
    <t>S1.284-100</t>
  </si>
  <si>
    <t>S3.26-10</t>
  </si>
  <si>
    <t>S1.294-100</t>
  </si>
  <si>
    <t>S2.152-100</t>
  </si>
  <si>
    <t>S2.144</t>
  </si>
  <si>
    <t>S1.288-100</t>
  </si>
  <si>
    <t>S2.138-100</t>
  </si>
  <si>
    <t>S3.22-10</t>
  </si>
  <si>
    <t>S3.7-100</t>
  </si>
  <si>
    <t>S1.308-100</t>
  </si>
  <si>
    <t>S3.55</t>
  </si>
  <si>
    <t>S1.348-10</t>
  </si>
  <si>
    <t>S1.350-10</t>
  </si>
  <si>
    <t>S2.196-10</t>
  </si>
  <si>
    <t>S1.372-10</t>
  </si>
  <si>
    <t>S3.104-100</t>
  </si>
  <si>
    <t>S2.230-100</t>
  </si>
  <si>
    <t>L.amylovorus-1000</t>
  </si>
  <si>
    <t>L.reuteri-1000</t>
  </si>
  <si>
    <t>L.amy+L.reu-1000</t>
  </si>
  <si>
    <t>3367</t>
  </si>
  <si>
    <t>5395</t>
  </si>
  <si>
    <t>2857</t>
  </si>
  <si>
    <t>3192</t>
  </si>
  <si>
    <t>4991</t>
  </si>
  <si>
    <t>3817</t>
  </si>
  <si>
    <t>4450</t>
  </si>
  <si>
    <t>4474</t>
  </si>
  <si>
    <t>6338</t>
  </si>
  <si>
    <t>1915</t>
  </si>
  <si>
    <t>4825</t>
  </si>
  <si>
    <t>1424</t>
  </si>
  <si>
    <t>3207</t>
  </si>
  <si>
    <t>4977</t>
  </si>
  <si>
    <t>5424</t>
  </si>
  <si>
    <t>2859</t>
  </si>
  <si>
    <t>1763</t>
  </si>
  <si>
    <t>6482</t>
  </si>
  <si>
    <t>4256</t>
  </si>
  <si>
    <t>6572</t>
  </si>
  <si>
    <t>7787</t>
  </si>
  <si>
    <t>489</t>
  </si>
  <si>
    <t>522</t>
  </si>
  <si>
    <t>7751</t>
  </si>
  <si>
    <t>7205</t>
  </si>
  <si>
    <t>6679</t>
  </si>
  <si>
    <t>1593</t>
  </si>
  <si>
    <t>7947</t>
  </si>
  <si>
    <t>3395</t>
  </si>
  <si>
    <t>3098</t>
  </si>
  <si>
    <t>5491</t>
  </si>
  <si>
    <t>2772</t>
  </si>
  <si>
    <t>7507</t>
  </si>
  <si>
    <t>756</t>
  </si>
  <si>
    <t>6708</t>
  </si>
  <si>
    <t>1574</t>
  </si>
  <si>
    <t>7999</t>
  </si>
  <si>
    <t>4488</t>
  </si>
  <si>
    <t>7229</t>
  </si>
  <si>
    <t>6066</t>
  </si>
  <si>
    <t>2211</t>
  </si>
  <si>
    <t>7974</t>
  </si>
  <si>
    <t>3544</t>
  </si>
  <si>
    <t>4720</t>
  </si>
  <si>
    <t>5902</t>
  </si>
  <si>
    <t>2362</t>
  </si>
  <si>
    <t>4301</t>
  </si>
  <si>
    <t>7366</t>
  </si>
  <si>
    <t>179</t>
  </si>
  <si>
    <t>51</t>
  </si>
  <si>
    <t>7463</t>
  </si>
  <si>
    <t>111</t>
  </si>
  <si>
    <t>6169</t>
  </si>
  <si>
    <t>2109</t>
  </si>
  <si>
    <t>7980</t>
  </si>
  <si>
    <t>2389</t>
  </si>
  <si>
    <t>5830</t>
  </si>
  <si>
    <t>5693</t>
  </si>
  <si>
    <t>2579</t>
  </si>
  <si>
    <t>1889</t>
  </si>
  <si>
    <t>5111</t>
  </si>
  <si>
    <t>140</t>
  </si>
  <si>
    <t>4051</t>
  </si>
  <si>
    <t>4220</t>
  </si>
  <si>
    <t>5862</t>
  </si>
  <si>
    <t>4753</t>
  </si>
  <si>
    <t>3524</t>
  </si>
  <si>
    <t>7756</t>
  </si>
  <si>
    <t>513</t>
  </si>
  <si>
    <t>1869</t>
  </si>
  <si>
    <t>7838</t>
  </si>
  <si>
    <t>434</t>
  </si>
  <si>
    <t>6446</t>
  </si>
  <si>
    <t>1824</t>
  </si>
  <si>
    <t>4327</t>
  </si>
  <si>
    <t>3941</t>
  </si>
  <si>
    <t>1549</t>
  </si>
  <si>
    <t>5018</t>
  </si>
  <si>
    <t>3255</t>
  </si>
  <si>
    <t>7249</t>
  </si>
  <si>
    <t>1024</t>
  </si>
  <si>
    <t>2371</t>
  </si>
  <si>
    <t>5832</t>
  </si>
  <si>
    <t>3971</t>
  </si>
  <si>
    <t>5705</t>
  </si>
  <si>
    <t>2566</t>
  </si>
  <si>
    <t>646</t>
  </si>
  <si>
    <t>3859</t>
  </si>
  <si>
    <t>4393</t>
  </si>
  <si>
    <t>5630</t>
  </si>
  <si>
    <t>5648</t>
  </si>
  <si>
    <t>2618</t>
  </si>
  <si>
    <t>5315</t>
  </si>
  <si>
    <t>2965</t>
  </si>
  <si>
    <t>540</t>
  </si>
  <si>
    <t>2150</t>
  </si>
  <si>
    <t>160</t>
  </si>
  <si>
    <t>5626</t>
  </si>
  <si>
    <t>2649</t>
  </si>
  <si>
    <t>654</t>
  </si>
  <si>
    <t>6994</t>
  </si>
  <si>
    <t>8059</t>
  </si>
  <si>
    <t>206</t>
  </si>
  <si>
    <t>5458</t>
  </si>
  <si>
    <t>7659</t>
  </si>
  <si>
    <t>5681</t>
  </si>
  <si>
    <t>2592</t>
  </si>
  <si>
    <t>7785</t>
  </si>
  <si>
    <t>488</t>
  </si>
  <si>
    <t>1286</t>
  </si>
  <si>
    <t>7573</t>
  </si>
  <si>
    <t>701</t>
  </si>
  <si>
    <t>4345</t>
  </si>
  <si>
    <t>3921</t>
  </si>
  <si>
    <t>7187</t>
  </si>
  <si>
    <t>1079</t>
  </si>
  <si>
    <t>4126</t>
  </si>
  <si>
    <t>6480</t>
  </si>
  <si>
    <t>1788</t>
  </si>
  <si>
    <t>1779</t>
  </si>
  <si>
    <t>6451</t>
  </si>
  <si>
    <t>5022</t>
  </si>
  <si>
    <t>3264</t>
  </si>
  <si>
    <t>3707</t>
  </si>
  <si>
    <t>4563</t>
  </si>
  <si>
    <t>6300</t>
  </si>
  <si>
    <t>1970</t>
  </si>
  <si>
    <t>6469</t>
  </si>
  <si>
    <t>7780</t>
  </si>
  <si>
    <t>482</t>
  </si>
  <si>
    <t>5324</t>
  </si>
  <si>
    <t>6846</t>
  </si>
  <si>
    <t>7014</t>
  </si>
  <si>
    <t>615</t>
  </si>
  <si>
    <t>5731</t>
  </si>
  <si>
    <t>7298</t>
  </si>
  <si>
    <t>2304</t>
  </si>
  <si>
    <t>4673</t>
  </si>
  <si>
    <t>3598</t>
  </si>
  <si>
    <t>7375</t>
  </si>
  <si>
    <t>906</t>
  </si>
  <si>
    <t>1037</t>
  </si>
  <si>
    <t>6731</t>
  </si>
  <si>
    <t>1531</t>
  </si>
  <si>
    <t>6874</t>
  </si>
  <si>
    <t>5918</t>
  </si>
  <si>
    <t>692</t>
  </si>
  <si>
    <t>7590</t>
  </si>
  <si>
    <t>1518</t>
  </si>
  <si>
    <t>6543</t>
  </si>
  <si>
    <t>8108</t>
  </si>
  <si>
    <t>4864</t>
  </si>
  <si>
    <t>3244</t>
  </si>
  <si>
    <t>7885</t>
  </si>
  <si>
    <t>4645</t>
  </si>
  <si>
    <t>3623</t>
  </si>
  <si>
    <t>2989</t>
  </si>
  <si>
    <t>5143</t>
  </si>
  <si>
    <t>3131</t>
  </si>
  <si>
    <t>6333</t>
  </si>
  <si>
    <t>1929</t>
  </si>
  <si>
    <t>4529</t>
  </si>
  <si>
    <t>3733</t>
  </si>
  <si>
    <t>7232</t>
  </si>
  <si>
    <t>1039</t>
  </si>
  <si>
    <t>6953</t>
  </si>
  <si>
    <t>1311</t>
  </si>
  <si>
    <t>9</t>
  </si>
  <si>
    <t>3759</t>
  </si>
  <si>
    <t>3617</t>
  </si>
  <si>
    <t>4662</t>
  </si>
  <si>
    <t>6926</t>
  </si>
  <si>
    <t>1353</t>
  </si>
  <si>
    <t>3920</t>
  </si>
  <si>
    <t>4344</t>
  </si>
  <si>
    <t>4492</t>
  </si>
  <si>
    <t>3772</t>
  </si>
  <si>
    <t>7243</t>
  </si>
  <si>
    <t>5616</t>
  </si>
  <si>
    <t>2641</t>
  </si>
  <si>
    <t>3347</t>
  </si>
  <si>
    <t>4923</t>
  </si>
  <si>
    <t>8050</t>
  </si>
  <si>
    <t>3400</t>
  </si>
  <si>
    <t>4868</t>
  </si>
  <si>
    <t>269</t>
  </si>
  <si>
    <t>6511</t>
  </si>
  <si>
    <t>8131</t>
  </si>
  <si>
    <t>4086</t>
  </si>
  <si>
    <t>4189</t>
  </si>
  <si>
    <t>6301</t>
  </si>
  <si>
    <t>6159</t>
  </si>
  <si>
    <t>2112</t>
  </si>
  <si>
    <t>4544</t>
  </si>
  <si>
    <t>3727</t>
  </si>
  <si>
    <t>2593</t>
  </si>
  <si>
    <t>22</t>
  </si>
  <si>
    <t>8153</t>
  </si>
  <si>
    <t>2727</t>
  </si>
  <si>
    <t>5426</t>
  </si>
  <si>
    <t>3976</t>
  </si>
  <si>
    <t>4286</t>
  </si>
  <si>
    <t>3149</t>
  </si>
  <si>
    <t>5032</t>
  </si>
  <si>
    <t>3519</t>
  </si>
  <si>
    <t>4760</t>
  </si>
  <si>
    <t>7773</t>
  </si>
  <si>
    <t>506</t>
  </si>
  <si>
    <t>8163</t>
  </si>
  <si>
    <t>2771</t>
  </si>
  <si>
    <t>5392</t>
  </si>
  <si>
    <t>6591</t>
  </si>
  <si>
    <t>1694</t>
  </si>
  <si>
    <t>7950</t>
  </si>
  <si>
    <t>3279</t>
  </si>
  <si>
    <t>4671</t>
  </si>
  <si>
    <t>5359</t>
  </si>
  <si>
    <t>6337</t>
  </si>
  <si>
    <t>1895</t>
  </si>
  <si>
    <t>2833</t>
  </si>
  <si>
    <t>2485</t>
  </si>
  <si>
    <t>5695</t>
  </si>
  <si>
    <t>3174</t>
  </si>
  <si>
    <t>1771</t>
  </si>
  <si>
    <t>L6</t>
  </si>
  <si>
    <t>S1.346-100</t>
  </si>
  <si>
    <t>3726</t>
  </si>
  <si>
    <t>4545</t>
  </si>
  <si>
    <t>5738</t>
  </si>
  <si>
    <t>S1.296-100</t>
  </si>
  <si>
    <t>7311</t>
  </si>
  <si>
    <t>10.1</t>
  </si>
  <si>
    <t>S2.270-1000</t>
  </si>
  <si>
    <t>S3.119-1000</t>
  </si>
  <si>
    <t>S1.359-100</t>
  </si>
  <si>
    <t>S2.226-100</t>
  </si>
  <si>
    <t>S3.17-100</t>
  </si>
  <si>
    <t>S2.188</t>
  </si>
  <si>
    <t>S2.160</t>
  </si>
  <si>
    <t>NTC-1µL</t>
  </si>
  <si>
    <t>L.amy+L.reu-100</t>
  </si>
  <si>
    <t>L.amy+L.reu-10000</t>
  </si>
  <si>
    <t>L.amy+L.reu-100000</t>
  </si>
  <si>
    <t>1010</t>
  </si>
  <si>
    <t>7265</t>
  </si>
  <si>
    <t>4921</t>
  </si>
  <si>
    <t>5656</t>
  </si>
  <si>
    <t>2619</t>
  </si>
  <si>
    <t>7848</t>
  </si>
  <si>
    <t>427</t>
  </si>
  <si>
    <t>3641</t>
  </si>
  <si>
    <t>4620</t>
  </si>
  <si>
    <t>7727</t>
  </si>
  <si>
    <t>534</t>
  </si>
  <si>
    <t>7560</t>
  </si>
  <si>
    <t>723</t>
  </si>
  <si>
    <t>3818</t>
  </si>
  <si>
    <t>4460</t>
  </si>
  <si>
    <t>6867</t>
  </si>
  <si>
    <t>1411</t>
  </si>
  <si>
    <t>13</t>
  </si>
  <si>
    <t>3682</t>
  </si>
  <si>
    <t>4367</t>
  </si>
  <si>
    <t>3895</t>
  </si>
  <si>
    <t>4412</t>
  </si>
  <si>
    <t>4160</t>
  </si>
  <si>
    <t>4111</t>
  </si>
  <si>
    <t>5676</t>
  </si>
  <si>
    <t>2595</t>
  </si>
  <si>
    <t>147</t>
  </si>
  <si>
    <t>24830</t>
  </si>
  <si>
    <t>18882</t>
  </si>
  <si>
    <t>5948</t>
  </si>
  <si>
    <t>23895</t>
  </si>
  <si>
    <t>935</t>
  </si>
  <si>
    <t>24838</t>
  </si>
  <si>
    <t>23265</t>
  </si>
  <si>
    <t>24795</t>
  </si>
  <si>
    <t>3773</t>
  </si>
  <si>
    <t>21022</t>
  </si>
  <si>
    <t>24848</t>
  </si>
  <si>
    <t>24489</t>
  </si>
  <si>
    <t>24846</t>
  </si>
  <si>
    <t>791</t>
  </si>
  <si>
    <t>24055</t>
  </si>
  <si>
    <t>24814</t>
  </si>
  <si>
    <t>31</t>
  </si>
  <si>
    <t>24783</t>
  </si>
  <si>
    <t>24813</t>
  </si>
  <si>
    <t>90</t>
  </si>
  <si>
    <t>24723</t>
  </si>
  <si>
    <t>1212</t>
  </si>
  <si>
    <t>7067</t>
  </si>
  <si>
    <t>1218</t>
  </si>
  <si>
    <t>7041</t>
  </si>
  <si>
    <t>8158</t>
  </si>
  <si>
    <t>2729</t>
  </si>
  <si>
    <t>5429</t>
  </si>
  <si>
    <t>8012</t>
  </si>
  <si>
    <t>7908</t>
  </si>
  <si>
    <t>5313</t>
  </si>
  <si>
    <t>L7</t>
  </si>
  <si>
    <t>8089</t>
  </si>
  <si>
    <t>28</t>
  </si>
  <si>
    <t>8088</t>
  </si>
  <si>
    <t>E7</t>
  </si>
  <si>
    <t>S2.254</t>
  </si>
  <si>
    <t>16485</t>
  </si>
  <si>
    <t>9915</t>
  </si>
  <si>
    <t>16524</t>
  </si>
  <si>
    <t>15673</t>
  </si>
  <si>
    <t>NTC-2µL</t>
  </si>
  <si>
    <t>5282</t>
  </si>
  <si>
    <t>480</t>
  </si>
  <si>
    <t>E. coli</t>
  </si>
  <si>
    <t>83</t>
  </si>
  <si>
    <t>3465</t>
  </si>
  <si>
    <t>4807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</si>
</sst>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8">
    <xf numFmtId="0" fontId="0" fillId="0" borderId="0" xfId="0"/>
    <xf numFmtId="2" fontId="0" fillId="0" borderId="0" xfId="0" applyNumberFormat="1"/>
    <xf numFmtId="9" fontId="0" fillId="0" borderId="0" xfId="1" applyFont="1"/>
    <xf numFmtId="11" fontId="0" fillId="0" borderId="0" xfId="0" applyNumberFormat="1"/>
    <xf numFmtId="9" fontId="0" fillId="0" borderId="0" xfId="1" applyFont="1" applyFill="1"/>
    <xf numFmtId="9" fontId="0" fillId="0" borderId="0" xfId="0" applyNumberFormat="1"/>
    <xf numFmtId="3" fontId="0" fillId="0" borderId="0" xfId="0" applyNumberFormat="1"/>
    <xf numFmtId="10" fontId="0" fillId="0" borderId="0" xfId="0" applyNumberForma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2FBC41-3BFA-475A-9758-9D8E8F7CFBD8}">
  <dimension ref="A1:N2235"/>
  <sheetViews>
    <sheetView tabSelected="1" topLeftCell="A1751" zoomScale="93" zoomScaleNormal="180" workbookViewId="0">
      <selection activeCell="L1781" sqref="L1781"/>
    </sheetView>
  </sheetViews>
  <sheetFormatPr defaultRowHeight="15" x14ac:dyDescent="0.25"/>
  <cols>
    <col min="1" max="1" width="19.28515625" bestFit="1" customWidth="1"/>
    <col min="2" max="2" width="12.7109375" customWidth="1"/>
    <col min="4" max="4" width="12" style="2" customWidth="1"/>
    <col min="5" max="7" width="14.42578125" style="3" customWidth="1"/>
    <col min="9" max="9" width="10.7109375" customWidth="1"/>
    <col min="13" max="13" width="13.140625" style="1" bestFit="1" customWidth="1"/>
  </cols>
  <sheetData>
    <row r="1" spans="1:14" x14ac:dyDescent="0.25">
      <c r="A1" t="s">
        <v>7</v>
      </c>
      <c r="B1" t="s">
        <v>0</v>
      </c>
      <c r="C1" t="s">
        <v>1606</v>
      </c>
      <c r="D1" s="4" t="s">
        <v>1607</v>
      </c>
      <c r="E1" s="3" t="s">
        <v>8</v>
      </c>
      <c r="F1" s="3" t="s">
        <v>3363</v>
      </c>
      <c r="G1" s="3" t="s">
        <v>3364</v>
      </c>
      <c r="H1" t="s">
        <v>1</v>
      </c>
      <c r="I1" t="s">
        <v>2</v>
      </c>
      <c r="J1" t="s">
        <v>3</v>
      </c>
      <c r="K1" t="s">
        <v>4</v>
      </c>
      <c r="L1" t="s">
        <v>5</v>
      </c>
      <c r="M1" s="1" t="s">
        <v>6</v>
      </c>
      <c r="N1" t="s">
        <v>441</v>
      </c>
    </row>
    <row r="2" spans="1:14" x14ac:dyDescent="0.25">
      <c r="A2" t="s">
        <v>1610</v>
      </c>
      <c r="B2" t="s">
        <v>1609</v>
      </c>
      <c r="C2" t="s">
        <v>9</v>
      </c>
      <c r="D2" s="4">
        <v>2.7117839455043799E-2</v>
      </c>
      <c r="E2" s="3">
        <v>54104.383081958404</v>
      </c>
      <c r="F2" s="3">
        <f>E2/7.8</f>
        <v>6936.4593694818468</v>
      </c>
      <c r="G2" s="3">
        <f>F2/2</f>
        <v>3468.2296847409234</v>
      </c>
      <c r="H2" t="s">
        <v>347</v>
      </c>
      <c r="I2" t="s">
        <v>1594</v>
      </c>
      <c r="J2" t="s">
        <v>1595</v>
      </c>
      <c r="K2">
        <v>24.89</v>
      </c>
      <c r="L2">
        <v>2.4489999999999998</v>
      </c>
      <c r="M2" s="1" t="s">
        <v>20</v>
      </c>
      <c r="N2" s="1" t="s">
        <v>443</v>
      </c>
    </row>
    <row r="3" spans="1:14" x14ac:dyDescent="0.25">
      <c r="A3" t="s">
        <v>1610</v>
      </c>
      <c r="B3" t="s">
        <v>1609</v>
      </c>
      <c r="C3" t="s">
        <v>448</v>
      </c>
      <c r="D3" s="4">
        <v>5.6336079727092397E-2</v>
      </c>
      <c r="E3" s="3">
        <v>6629.6471037717702</v>
      </c>
      <c r="H3" t="s">
        <v>45</v>
      </c>
      <c r="I3" t="s">
        <v>1253</v>
      </c>
      <c r="J3" t="s">
        <v>1596</v>
      </c>
      <c r="K3">
        <v>7.13</v>
      </c>
      <c r="L3">
        <v>2.4489999999999998</v>
      </c>
      <c r="M3" s="1" t="s">
        <v>20</v>
      </c>
      <c r="N3" s="1" t="s">
        <v>443</v>
      </c>
    </row>
    <row r="4" spans="1:14" x14ac:dyDescent="0.25">
      <c r="A4" t="s">
        <v>1608</v>
      </c>
      <c r="B4" t="s">
        <v>1609</v>
      </c>
      <c r="C4" t="s">
        <v>9</v>
      </c>
      <c r="D4" s="4">
        <v>8.8275917056341593E-2</v>
      </c>
      <c r="E4" s="3">
        <v>119787111.23799799</v>
      </c>
      <c r="F4" s="3">
        <f>E4/7.8</f>
        <v>15357321.953589486</v>
      </c>
      <c r="G4" s="3">
        <f>F4/2</f>
        <v>7678660.976794743</v>
      </c>
      <c r="H4" t="s">
        <v>2023</v>
      </c>
      <c r="I4" t="s">
        <v>272</v>
      </c>
      <c r="J4" t="s">
        <v>2024</v>
      </c>
      <c r="K4" t="s">
        <v>2025</v>
      </c>
      <c r="L4" t="s">
        <v>2026</v>
      </c>
      <c r="M4" s="1">
        <v>100000</v>
      </c>
      <c r="N4" s="1" t="s">
        <v>443</v>
      </c>
    </row>
    <row r="5" spans="1:14" x14ac:dyDescent="0.25">
      <c r="A5" t="s">
        <v>1608</v>
      </c>
      <c r="B5" t="s">
        <v>1609</v>
      </c>
      <c r="C5" t="s">
        <v>9</v>
      </c>
      <c r="D5" s="4">
        <v>0.28289659740527601</v>
      </c>
      <c r="E5" s="3">
        <v>120152275.259716</v>
      </c>
      <c r="F5" s="3">
        <f>E5/7.8</f>
        <v>15404137.853809744</v>
      </c>
      <c r="G5" s="3">
        <f>F5/2</f>
        <v>7702068.9269048721</v>
      </c>
      <c r="H5" t="s">
        <v>2031</v>
      </c>
      <c r="I5" t="s">
        <v>2032</v>
      </c>
      <c r="J5" t="s">
        <v>2033</v>
      </c>
      <c r="K5" t="s">
        <v>2025</v>
      </c>
      <c r="L5" t="s">
        <v>2034</v>
      </c>
      <c r="M5" s="1">
        <v>1000000</v>
      </c>
      <c r="N5" s="1" t="s">
        <v>443</v>
      </c>
    </row>
    <row r="6" spans="1:14" x14ac:dyDescent="0.25">
      <c r="A6" t="s">
        <v>1608</v>
      </c>
      <c r="B6" t="s">
        <v>1609</v>
      </c>
      <c r="C6" t="s">
        <v>9</v>
      </c>
      <c r="D6" s="4">
        <v>0.80015197316398401</v>
      </c>
      <c r="E6" s="3">
        <v>142909822.98226801</v>
      </c>
      <c r="F6" s="3">
        <f>E6/7.8</f>
        <v>18321772.177213848</v>
      </c>
      <c r="G6" s="3">
        <f>F6/2</f>
        <v>9160886.0886069238</v>
      </c>
      <c r="H6" t="s">
        <v>2037</v>
      </c>
      <c r="I6" t="s">
        <v>2038</v>
      </c>
      <c r="J6" t="s">
        <v>2039</v>
      </c>
      <c r="K6" t="s">
        <v>2025</v>
      </c>
      <c r="L6" t="s">
        <v>2040</v>
      </c>
      <c r="M6" s="1">
        <v>10000000</v>
      </c>
      <c r="N6" s="1" t="s">
        <v>443</v>
      </c>
    </row>
    <row r="7" spans="1:14" x14ac:dyDescent="0.25">
      <c r="A7" t="s">
        <v>1608</v>
      </c>
      <c r="B7" t="s">
        <v>1609</v>
      </c>
      <c r="C7" t="s">
        <v>9</v>
      </c>
      <c r="D7" s="4" t="s">
        <v>20</v>
      </c>
      <c r="E7" s="3">
        <v>0</v>
      </c>
      <c r="F7" s="3">
        <f>E7/7.8</f>
        <v>0</v>
      </c>
      <c r="G7" s="3">
        <f>F7/2</f>
        <v>0</v>
      </c>
      <c r="H7" t="s">
        <v>2042</v>
      </c>
      <c r="I7" t="s">
        <v>201</v>
      </c>
      <c r="J7" t="s">
        <v>2042</v>
      </c>
      <c r="K7" t="s">
        <v>2025</v>
      </c>
      <c r="L7" t="s">
        <v>2043</v>
      </c>
      <c r="M7" s="1">
        <v>100000000</v>
      </c>
      <c r="N7" s="1" t="s">
        <v>443</v>
      </c>
    </row>
    <row r="8" spans="1:14" x14ac:dyDescent="0.25">
      <c r="A8" t="s">
        <v>1608</v>
      </c>
      <c r="B8" t="s">
        <v>1609</v>
      </c>
      <c r="C8" t="s">
        <v>448</v>
      </c>
      <c r="D8" s="4">
        <v>0.23595218477742</v>
      </c>
      <c r="E8" s="3">
        <v>16549736.4516339</v>
      </c>
      <c r="H8" t="s">
        <v>2027</v>
      </c>
      <c r="I8" t="s">
        <v>2028</v>
      </c>
      <c r="J8" t="s">
        <v>2029</v>
      </c>
      <c r="K8" t="s">
        <v>2030</v>
      </c>
      <c r="L8" t="s">
        <v>2026</v>
      </c>
      <c r="M8" s="1">
        <v>100000</v>
      </c>
      <c r="N8" s="1" t="s">
        <v>443</v>
      </c>
    </row>
    <row r="9" spans="1:14" x14ac:dyDescent="0.25">
      <c r="A9" t="s">
        <v>1608</v>
      </c>
      <c r="B9" t="s">
        <v>1609</v>
      </c>
      <c r="C9" t="s">
        <v>448</v>
      </c>
      <c r="D9" s="4">
        <v>0.69295194515853997</v>
      </c>
      <c r="E9" s="3">
        <v>20001106.9938928</v>
      </c>
      <c r="H9" t="s">
        <v>2031</v>
      </c>
      <c r="I9" t="s">
        <v>2035</v>
      </c>
      <c r="J9" t="s">
        <v>2036</v>
      </c>
      <c r="K9" t="s">
        <v>2030</v>
      </c>
      <c r="L9" t="s">
        <v>2034</v>
      </c>
      <c r="M9" s="1">
        <v>1000000</v>
      </c>
      <c r="N9" s="1" t="s">
        <v>443</v>
      </c>
    </row>
    <row r="10" spans="1:14" x14ac:dyDescent="0.25">
      <c r="A10" t="s">
        <v>1608</v>
      </c>
      <c r="B10" t="s">
        <v>1609</v>
      </c>
      <c r="C10" t="s">
        <v>448</v>
      </c>
      <c r="D10" s="4">
        <v>1.06418448117231</v>
      </c>
      <c r="E10" s="3">
        <v>71448424.239744499</v>
      </c>
      <c r="H10" t="s">
        <v>2037</v>
      </c>
      <c r="I10" t="s">
        <v>43</v>
      </c>
      <c r="J10" t="s">
        <v>2041</v>
      </c>
      <c r="K10" t="s">
        <v>2030</v>
      </c>
      <c r="L10" t="s">
        <v>2040</v>
      </c>
      <c r="M10" s="1">
        <v>10000000</v>
      </c>
      <c r="N10" s="1" t="s">
        <v>443</v>
      </c>
    </row>
    <row r="11" spans="1:14" x14ac:dyDescent="0.25">
      <c r="A11" t="s">
        <v>1608</v>
      </c>
      <c r="B11" t="s">
        <v>1609</v>
      </c>
      <c r="C11" t="s">
        <v>448</v>
      </c>
      <c r="D11" s="4" t="s">
        <v>20</v>
      </c>
      <c r="E11" s="3">
        <v>0</v>
      </c>
      <c r="H11" t="s">
        <v>2042</v>
      </c>
      <c r="I11" t="s">
        <v>201</v>
      </c>
      <c r="J11" t="s">
        <v>2042</v>
      </c>
      <c r="K11" t="s">
        <v>2030</v>
      </c>
      <c r="L11" t="s">
        <v>2043</v>
      </c>
      <c r="M11" s="1">
        <v>100000000</v>
      </c>
      <c r="N11" s="1" t="s">
        <v>443</v>
      </c>
    </row>
    <row r="12" spans="1:14" x14ac:dyDescent="0.25">
      <c r="A12" t="s">
        <v>10</v>
      </c>
      <c r="B12" t="s">
        <v>1609</v>
      </c>
      <c r="C12" t="s">
        <v>9</v>
      </c>
      <c r="D12" s="4">
        <v>0</v>
      </c>
      <c r="E12" s="3">
        <v>0</v>
      </c>
      <c r="F12" s="3">
        <f>E12/7.8</f>
        <v>0</v>
      </c>
      <c r="G12" s="3">
        <f>F12/2</f>
        <v>0</v>
      </c>
      <c r="H12" t="s">
        <v>115</v>
      </c>
      <c r="I12" t="s">
        <v>201</v>
      </c>
      <c r="J12" t="s">
        <v>115</v>
      </c>
      <c r="K12">
        <v>24.89</v>
      </c>
      <c r="L12">
        <v>2.464</v>
      </c>
      <c r="M12" s="1" t="s">
        <v>20</v>
      </c>
      <c r="N12" s="1" t="s">
        <v>443</v>
      </c>
    </row>
    <row r="13" spans="1:14" x14ac:dyDescent="0.25">
      <c r="A13" t="s">
        <v>10</v>
      </c>
      <c r="B13" t="s">
        <v>1609</v>
      </c>
      <c r="C13" t="s">
        <v>448</v>
      </c>
      <c r="D13" s="4">
        <v>0</v>
      </c>
      <c r="E13" s="3">
        <v>0</v>
      </c>
      <c r="H13" t="s">
        <v>115</v>
      </c>
      <c r="I13" t="s">
        <v>201</v>
      </c>
      <c r="J13" t="s">
        <v>115</v>
      </c>
      <c r="K13">
        <v>7.13</v>
      </c>
      <c r="L13">
        <v>2.464</v>
      </c>
      <c r="M13" s="1" t="s">
        <v>20</v>
      </c>
      <c r="N13" s="1" t="s">
        <v>443</v>
      </c>
    </row>
    <row r="14" spans="1:14" x14ac:dyDescent="0.25">
      <c r="A14" t="s">
        <v>1615</v>
      </c>
      <c r="B14" t="s">
        <v>1609</v>
      </c>
      <c r="C14" t="s">
        <v>9</v>
      </c>
      <c r="D14" s="4">
        <v>2.7145562612825701E-2</v>
      </c>
      <c r="E14" s="3">
        <v>540695.61535831704</v>
      </c>
      <c r="F14" s="3">
        <f>E14/7.8</f>
        <v>69319.950686963726</v>
      </c>
      <c r="G14" s="3">
        <f>F14/2</f>
        <v>34659.975343481863</v>
      </c>
      <c r="H14" t="s">
        <v>552</v>
      </c>
      <c r="I14" t="s">
        <v>1586</v>
      </c>
      <c r="J14" t="s">
        <v>1587</v>
      </c>
      <c r="K14">
        <v>19.760000000000002</v>
      </c>
      <c r="L14">
        <v>2.4329999999999998</v>
      </c>
      <c r="M14" s="1">
        <v>10</v>
      </c>
      <c r="N14" s="1" t="s">
        <v>443</v>
      </c>
    </row>
    <row r="15" spans="1:14" x14ac:dyDescent="0.25">
      <c r="A15" t="s">
        <v>1615</v>
      </c>
      <c r="B15" t="s">
        <v>1609</v>
      </c>
      <c r="C15" t="s">
        <v>448</v>
      </c>
      <c r="D15" s="4">
        <v>5.71391579594826E-2</v>
      </c>
      <c r="E15" s="3">
        <v>64811.849143517698</v>
      </c>
      <c r="H15" t="s">
        <v>59</v>
      </c>
      <c r="I15" t="s">
        <v>1448</v>
      </c>
      <c r="J15" t="s">
        <v>1588</v>
      </c>
      <c r="K15">
        <v>7.13</v>
      </c>
      <c r="L15">
        <v>2.4329999999999998</v>
      </c>
      <c r="M15" s="1">
        <v>10</v>
      </c>
      <c r="N15" s="1" t="s">
        <v>443</v>
      </c>
    </row>
    <row r="16" spans="1:14" x14ac:dyDescent="0.25">
      <c r="A16" t="s">
        <v>1629</v>
      </c>
      <c r="B16" t="s">
        <v>1609</v>
      </c>
      <c r="C16" t="s">
        <v>9</v>
      </c>
      <c r="D16" s="4">
        <v>2.6945338918113002E-2</v>
      </c>
      <c r="E16" s="3">
        <v>579211.64715180604</v>
      </c>
      <c r="F16" s="3">
        <f>E16/7.8</f>
        <v>74257.903481000772</v>
      </c>
      <c r="G16" s="3">
        <f>F16/2</f>
        <v>37128.951740500386</v>
      </c>
      <c r="H16" t="s">
        <v>62</v>
      </c>
      <c r="I16" t="s">
        <v>1567</v>
      </c>
      <c r="J16" t="s">
        <v>1122</v>
      </c>
      <c r="K16">
        <v>23.59</v>
      </c>
      <c r="L16">
        <v>2.4540000000000002</v>
      </c>
      <c r="M16" s="1">
        <v>10</v>
      </c>
      <c r="N16" s="1" t="s">
        <v>443</v>
      </c>
    </row>
    <row r="17" spans="1:14" x14ac:dyDescent="0.25">
      <c r="A17" t="s">
        <v>1629</v>
      </c>
      <c r="B17" t="s">
        <v>1609</v>
      </c>
      <c r="C17" t="s">
        <v>448</v>
      </c>
      <c r="D17" s="4">
        <v>5.2182176137392802E-2</v>
      </c>
      <c r="E17" s="3">
        <v>78173.854082706806</v>
      </c>
      <c r="H17" t="s">
        <v>62</v>
      </c>
      <c r="I17" t="s">
        <v>1568</v>
      </c>
      <c r="J17" t="s">
        <v>666</v>
      </c>
      <c r="K17">
        <v>7.13</v>
      </c>
      <c r="L17">
        <v>2.4540000000000002</v>
      </c>
      <c r="M17" s="1">
        <v>10</v>
      </c>
      <c r="N17" s="1" t="s">
        <v>443</v>
      </c>
    </row>
    <row r="18" spans="1:14" x14ac:dyDescent="0.25">
      <c r="A18" t="s">
        <v>1631</v>
      </c>
      <c r="B18" t="s">
        <v>1609</v>
      </c>
      <c r="C18" t="s">
        <v>9</v>
      </c>
      <c r="D18" s="4">
        <v>6.8560660689849298E-2</v>
      </c>
      <c r="E18" s="3">
        <v>419790.67375932698</v>
      </c>
      <c r="F18" s="3">
        <f>E18/7.8</f>
        <v>53819.317148631664</v>
      </c>
      <c r="G18" s="3">
        <f>F18/2</f>
        <v>26909.658574315832</v>
      </c>
      <c r="H18" t="s">
        <v>207</v>
      </c>
      <c r="I18" t="s">
        <v>1510</v>
      </c>
      <c r="J18" t="s">
        <v>1511</v>
      </c>
      <c r="K18">
        <v>27.41</v>
      </c>
      <c r="L18">
        <v>2.5329999999999999</v>
      </c>
      <c r="M18" s="1">
        <v>100</v>
      </c>
      <c r="N18" s="1" t="s">
        <v>443</v>
      </c>
    </row>
    <row r="19" spans="1:14" x14ac:dyDescent="0.25">
      <c r="A19" t="s">
        <v>1631</v>
      </c>
      <c r="B19" t="s">
        <v>1609</v>
      </c>
      <c r="C19" t="s">
        <v>448</v>
      </c>
      <c r="D19" s="4">
        <v>0.189478592784739</v>
      </c>
      <c r="E19" s="3">
        <v>52489.564469522898</v>
      </c>
      <c r="H19" t="s">
        <v>207</v>
      </c>
      <c r="I19" t="s">
        <v>800</v>
      </c>
      <c r="J19" t="s">
        <v>728</v>
      </c>
      <c r="K19">
        <v>7.13</v>
      </c>
      <c r="L19">
        <v>2.5329999999999999</v>
      </c>
      <c r="M19" s="1">
        <v>100</v>
      </c>
      <c r="N19" s="1" t="s">
        <v>443</v>
      </c>
    </row>
    <row r="20" spans="1:14" x14ac:dyDescent="0.25">
      <c r="A20" t="s">
        <v>1640</v>
      </c>
      <c r="B20" t="s">
        <v>1609</v>
      </c>
      <c r="C20" t="s">
        <v>9</v>
      </c>
      <c r="D20" s="4">
        <v>3.0106895595606399E-2</v>
      </c>
      <c r="E20" s="3">
        <v>292007.88745506498</v>
      </c>
      <c r="F20" s="3">
        <f>E20/7.8</f>
        <v>37436.908648085257</v>
      </c>
      <c r="G20" s="3">
        <f>F20/2</f>
        <v>18718.454324042628</v>
      </c>
      <c r="H20" t="s">
        <v>91</v>
      </c>
      <c r="I20" t="s">
        <v>1512</v>
      </c>
      <c r="J20" t="s">
        <v>1513</v>
      </c>
      <c r="K20">
        <v>29.33</v>
      </c>
      <c r="L20">
        <v>2.7160000000000002</v>
      </c>
      <c r="M20" s="1">
        <v>10</v>
      </c>
      <c r="N20" s="1" t="s">
        <v>443</v>
      </c>
    </row>
    <row r="21" spans="1:14" x14ac:dyDescent="0.25">
      <c r="A21" t="s">
        <v>1640</v>
      </c>
      <c r="B21" t="s">
        <v>1609</v>
      </c>
      <c r="C21" t="s">
        <v>448</v>
      </c>
      <c r="D21" s="4">
        <v>7.0207930058310802E-2</v>
      </c>
      <c r="E21" s="3">
        <v>37328.787507524597</v>
      </c>
      <c r="H21" t="s">
        <v>91</v>
      </c>
      <c r="I21" t="s">
        <v>350</v>
      </c>
      <c r="J21" t="s">
        <v>107</v>
      </c>
      <c r="K21">
        <v>7.13</v>
      </c>
      <c r="L21">
        <v>2.7160000000000002</v>
      </c>
      <c r="M21" s="1">
        <v>10</v>
      </c>
      <c r="N21" s="1" t="s">
        <v>443</v>
      </c>
    </row>
    <row r="22" spans="1:14" x14ac:dyDescent="0.25">
      <c r="A22" t="s">
        <v>1644</v>
      </c>
      <c r="B22" t="s">
        <v>1609</v>
      </c>
      <c r="C22" t="s">
        <v>9</v>
      </c>
      <c r="D22" s="4">
        <v>8.3473107718995701E-2</v>
      </c>
      <c r="E22" s="3">
        <v>2569919.3323321701</v>
      </c>
      <c r="F22" s="3">
        <f>E22/7.8</f>
        <v>329476.83747848333</v>
      </c>
      <c r="G22" s="3">
        <f>F22/2</f>
        <v>164738.41873924166</v>
      </c>
      <c r="H22" t="s">
        <v>133</v>
      </c>
      <c r="I22" t="s">
        <v>11</v>
      </c>
      <c r="J22" t="s">
        <v>976</v>
      </c>
      <c r="K22">
        <v>21.04</v>
      </c>
      <c r="L22">
        <v>2.4580000000000002</v>
      </c>
      <c r="M22" s="1">
        <v>10</v>
      </c>
      <c r="N22" s="1" t="s">
        <v>443</v>
      </c>
    </row>
    <row r="23" spans="1:14" x14ac:dyDescent="0.25">
      <c r="A23" t="s">
        <v>1644</v>
      </c>
      <c r="B23" t="s">
        <v>1609</v>
      </c>
      <c r="C23" t="s">
        <v>448</v>
      </c>
      <c r="D23" s="4">
        <v>2.9666135906309302E-2</v>
      </c>
      <c r="E23" s="3">
        <v>340115.87242353201</v>
      </c>
      <c r="H23" t="s">
        <v>133</v>
      </c>
      <c r="I23" t="s">
        <v>1592</v>
      </c>
      <c r="J23" t="s">
        <v>1593</v>
      </c>
      <c r="K23">
        <v>7.13</v>
      </c>
      <c r="L23">
        <v>2.4580000000000002</v>
      </c>
      <c r="M23" s="1">
        <v>10</v>
      </c>
      <c r="N23" s="1" t="s">
        <v>443</v>
      </c>
    </row>
    <row r="24" spans="1:14" x14ac:dyDescent="0.25">
      <c r="A24" t="s">
        <v>1651</v>
      </c>
      <c r="B24" t="s">
        <v>1609</v>
      </c>
      <c r="C24" t="s">
        <v>9</v>
      </c>
      <c r="D24" s="4">
        <v>2.73552136584106E-2</v>
      </c>
      <c r="E24" s="3">
        <v>491523.27265235502</v>
      </c>
      <c r="F24" s="3">
        <f>E24/7.8</f>
        <v>63015.804186199362</v>
      </c>
      <c r="G24" s="3">
        <f>F24/2</f>
        <v>31507.902093099681</v>
      </c>
      <c r="H24" t="s">
        <v>130</v>
      </c>
      <c r="I24" t="s">
        <v>1522</v>
      </c>
      <c r="J24" t="s">
        <v>1523</v>
      </c>
      <c r="K24">
        <v>22.31</v>
      </c>
      <c r="L24">
        <v>2.504</v>
      </c>
      <c r="M24" s="1">
        <v>10</v>
      </c>
      <c r="N24" s="1" t="s">
        <v>443</v>
      </c>
    </row>
    <row r="25" spans="1:14" x14ac:dyDescent="0.25">
      <c r="A25" t="s">
        <v>1651</v>
      </c>
      <c r="B25" t="s">
        <v>1609</v>
      </c>
      <c r="C25" t="s">
        <v>448</v>
      </c>
      <c r="D25" s="4">
        <v>5.7235638895136297E-2</v>
      </c>
      <c r="E25" s="3">
        <v>62595.351502832302</v>
      </c>
      <c r="H25" t="s">
        <v>133</v>
      </c>
      <c r="I25" t="s">
        <v>1524</v>
      </c>
      <c r="J25" t="s">
        <v>1525</v>
      </c>
      <c r="K25">
        <v>7.13</v>
      </c>
      <c r="L25">
        <v>2.504</v>
      </c>
      <c r="M25" s="1">
        <v>10</v>
      </c>
      <c r="N25" s="1" t="s">
        <v>443</v>
      </c>
    </row>
    <row r="26" spans="1:14" x14ac:dyDescent="0.25">
      <c r="A26" t="s">
        <v>1662</v>
      </c>
      <c r="B26" t="s">
        <v>1609</v>
      </c>
      <c r="C26" t="s">
        <v>9</v>
      </c>
      <c r="D26" s="4">
        <v>3.0813397779592199E-2</v>
      </c>
      <c r="E26" s="3">
        <v>279813.33703555999</v>
      </c>
      <c r="F26" s="3">
        <f>E26/7.8</f>
        <v>35873.50474814872</v>
      </c>
      <c r="G26" s="3">
        <f>F26/2</f>
        <v>17936.75237407436</v>
      </c>
      <c r="H26" t="s">
        <v>56</v>
      </c>
      <c r="I26" t="s">
        <v>1486</v>
      </c>
      <c r="J26" t="s">
        <v>1487</v>
      </c>
      <c r="K26">
        <v>24.86</v>
      </c>
      <c r="L26">
        <v>2.605</v>
      </c>
      <c r="M26" s="1">
        <v>10</v>
      </c>
      <c r="N26" s="1" t="s">
        <v>443</v>
      </c>
    </row>
    <row r="27" spans="1:14" x14ac:dyDescent="0.25">
      <c r="A27" t="s">
        <v>1662</v>
      </c>
      <c r="B27" t="s">
        <v>1609</v>
      </c>
      <c r="C27" t="s">
        <v>448</v>
      </c>
      <c r="D27" s="4">
        <v>7.5743541116169294E-2</v>
      </c>
      <c r="E27" s="3">
        <v>33099.030732272498</v>
      </c>
      <c r="H27" t="s">
        <v>56</v>
      </c>
      <c r="I27" t="s">
        <v>1488</v>
      </c>
      <c r="J27" t="s">
        <v>1489</v>
      </c>
      <c r="K27">
        <v>7.13</v>
      </c>
      <c r="L27">
        <v>2.605</v>
      </c>
      <c r="M27" s="1">
        <v>10</v>
      </c>
      <c r="N27" s="1" t="s">
        <v>443</v>
      </c>
    </row>
    <row r="28" spans="1:14" x14ac:dyDescent="0.25">
      <c r="A28" t="s">
        <v>1673</v>
      </c>
      <c r="B28" t="s">
        <v>1609</v>
      </c>
      <c r="C28" t="s">
        <v>9</v>
      </c>
      <c r="D28" s="4">
        <v>2.6824022765442702E-2</v>
      </c>
      <c r="E28" s="3">
        <v>633071.40005982702</v>
      </c>
      <c r="F28" s="3">
        <f>E28/7.8</f>
        <v>81163.00000767014</v>
      </c>
      <c r="G28" s="3">
        <f>F28/2</f>
        <v>40581.50000383507</v>
      </c>
      <c r="H28" t="s">
        <v>88</v>
      </c>
      <c r="I28" t="s">
        <v>1476</v>
      </c>
      <c r="J28" t="s">
        <v>1477</v>
      </c>
      <c r="K28">
        <v>28.69</v>
      </c>
      <c r="L28">
        <v>2.6179999999999999</v>
      </c>
      <c r="M28" s="1">
        <v>10</v>
      </c>
      <c r="N28" s="1" t="s">
        <v>443</v>
      </c>
    </row>
    <row r="29" spans="1:14" x14ac:dyDescent="0.25">
      <c r="A29" t="s">
        <v>1673</v>
      </c>
      <c r="B29" t="s">
        <v>1609</v>
      </c>
      <c r="C29" t="s">
        <v>448</v>
      </c>
      <c r="D29" s="4">
        <v>4.7868178295583597E-2</v>
      </c>
      <c r="E29" s="3">
        <v>89506.921073985504</v>
      </c>
      <c r="H29" t="s">
        <v>264</v>
      </c>
      <c r="I29" t="s">
        <v>1478</v>
      </c>
      <c r="J29" t="s">
        <v>945</v>
      </c>
      <c r="K29">
        <v>7.13</v>
      </c>
      <c r="L29">
        <v>2.6179999999999999</v>
      </c>
      <c r="M29" s="1">
        <v>10</v>
      </c>
      <c r="N29" s="1" t="s">
        <v>443</v>
      </c>
    </row>
    <row r="30" spans="1:14" x14ac:dyDescent="0.25">
      <c r="A30" t="s">
        <v>1674</v>
      </c>
      <c r="B30" t="s">
        <v>1609</v>
      </c>
      <c r="C30" t="s">
        <v>9</v>
      </c>
      <c r="D30" s="4">
        <v>2.83706577939144E-2</v>
      </c>
      <c r="E30" s="3">
        <v>38866382.1973968</v>
      </c>
      <c r="F30" s="3">
        <f>E30/7.8</f>
        <v>4982869.5124867689</v>
      </c>
      <c r="G30" s="3">
        <f>F30/2</f>
        <v>2491434.7562433844</v>
      </c>
      <c r="H30" t="s">
        <v>284</v>
      </c>
      <c r="I30" t="s">
        <v>1479</v>
      </c>
      <c r="J30" t="s">
        <v>1480</v>
      </c>
      <c r="K30">
        <v>28.69</v>
      </c>
      <c r="L30">
        <v>2.5790000000000002</v>
      </c>
      <c r="M30" s="1">
        <v>1000</v>
      </c>
      <c r="N30" s="1" t="s">
        <v>443</v>
      </c>
    </row>
    <row r="31" spans="1:14" x14ac:dyDescent="0.25">
      <c r="A31" t="s">
        <v>1674</v>
      </c>
      <c r="B31" t="s">
        <v>1609</v>
      </c>
      <c r="C31" t="s">
        <v>448</v>
      </c>
      <c r="D31" s="4">
        <v>6.0107319129166503E-2</v>
      </c>
      <c r="E31" s="3">
        <v>5460902.4804181801</v>
      </c>
      <c r="H31" t="s">
        <v>130</v>
      </c>
      <c r="I31" t="s">
        <v>1481</v>
      </c>
      <c r="J31" t="s">
        <v>1482</v>
      </c>
      <c r="K31">
        <v>7.13</v>
      </c>
      <c r="L31">
        <v>2.5790000000000002</v>
      </c>
      <c r="M31" s="1">
        <v>1000</v>
      </c>
      <c r="N31" s="1" t="s">
        <v>443</v>
      </c>
    </row>
    <row r="32" spans="1:14" x14ac:dyDescent="0.25">
      <c r="A32" t="s">
        <v>1685</v>
      </c>
      <c r="B32" t="s">
        <v>1609</v>
      </c>
      <c r="C32" t="s">
        <v>9</v>
      </c>
      <c r="D32" s="4">
        <v>2.73675642396853E-2</v>
      </c>
      <c r="E32" s="3">
        <v>456464.07410775899</v>
      </c>
      <c r="F32" s="3">
        <f>E32/7.8</f>
        <v>58521.035142020388</v>
      </c>
      <c r="G32" s="3">
        <f>F32/2</f>
        <v>29260.517571010194</v>
      </c>
      <c r="H32" t="s">
        <v>324</v>
      </c>
      <c r="I32" t="s">
        <v>1466</v>
      </c>
      <c r="J32" t="s">
        <v>702</v>
      </c>
      <c r="K32">
        <v>17.21</v>
      </c>
      <c r="L32">
        <v>2.6829999999999998</v>
      </c>
      <c r="M32" s="1">
        <v>10</v>
      </c>
      <c r="N32" s="1" t="s">
        <v>443</v>
      </c>
    </row>
    <row r="33" spans="1:14" x14ac:dyDescent="0.25">
      <c r="A33" t="s">
        <v>1685</v>
      </c>
      <c r="B33" t="s">
        <v>1609</v>
      </c>
      <c r="C33" t="s">
        <v>448</v>
      </c>
      <c r="D33" s="4">
        <v>6.0276770429176597E-2</v>
      </c>
      <c r="E33" s="3">
        <v>52175.275990663104</v>
      </c>
      <c r="H33" t="s">
        <v>130</v>
      </c>
      <c r="I33" t="s">
        <v>1467</v>
      </c>
      <c r="J33" t="s">
        <v>1468</v>
      </c>
      <c r="K33">
        <v>7.13</v>
      </c>
      <c r="L33">
        <v>2.6829999999999998</v>
      </c>
      <c r="M33" s="1">
        <v>10</v>
      </c>
      <c r="N33" s="1" t="s">
        <v>443</v>
      </c>
    </row>
    <row r="34" spans="1:14" x14ac:dyDescent="0.25">
      <c r="A34" t="s">
        <v>1688</v>
      </c>
      <c r="B34" t="s">
        <v>1609</v>
      </c>
      <c r="C34" t="s">
        <v>9</v>
      </c>
      <c r="D34" s="4">
        <v>2.9202844446172601E-2</v>
      </c>
      <c r="E34" s="3">
        <v>328962.43226376898</v>
      </c>
      <c r="F34" s="3">
        <f>E34/7.8</f>
        <v>42174.670803047309</v>
      </c>
      <c r="G34" s="3">
        <f>F34/2</f>
        <v>21087.335401523655</v>
      </c>
      <c r="H34" t="s">
        <v>552</v>
      </c>
      <c r="I34" t="s">
        <v>1493</v>
      </c>
      <c r="J34" t="s">
        <v>1494</v>
      </c>
      <c r="K34">
        <v>26.78</v>
      </c>
      <c r="L34">
        <v>2.7010000000000001</v>
      </c>
      <c r="M34" s="1">
        <v>10</v>
      </c>
      <c r="N34" s="1" t="s">
        <v>443</v>
      </c>
    </row>
    <row r="35" spans="1:14" x14ac:dyDescent="0.25">
      <c r="A35" t="s">
        <v>1688</v>
      </c>
      <c r="B35" t="s">
        <v>1609</v>
      </c>
      <c r="C35" t="s">
        <v>448</v>
      </c>
      <c r="D35" s="4">
        <v>8.1825960861691999E-2</v>
      </c>
      <c r="E35" s="3">
        <v>27241.2867886891</v>
      </c>
      <c r="H35" t="s">
        <v>552</v>
      </c>
      <c r="I35" t="s">
        <v>1495</v>
      </c>
      <c r="J35" t="s">
        <v>1496</v>
      </c>
      <c r="K35">
        <v>7.13</v>
      </c>
      <c r="L35">
        <v>2.7010000000000001</v>
      </c>
      <c r="M35" s="1">
        <v>10</v>
      </c>
      <c r="N35" s="1" t="s">
        <v>443</v>
      </c>
    </row>
    <row r="36" spans="1:14" x14ac:dyDescent="0.25">
      <c r="A36" t="s">
        <v>1693</v>
      </c>
      <c r="B36" t="s">
        <v>1609</v>
      </c>
      <c r="C36" t="s">
        <v>9</v>
      </c>
      <c r="D36" s="4">
        <v>3.2657625334908097E-2</v>
      </c>
      <c r="E36" s="3">
        <v>235714.59769295101</v>
      </c>
      <c r="F36" s="3">
        <f>E36/7.8</f>
        <v>30219.820217045002</v>
      </c>
      <c r="G36" s="3">
        <f>F36/2</f>
        <v>15109.910108522501</v>
      </c>
      <c r="H36" t="s">
        <v>294</v>
      </c>
      <c r="I36" t="s">
        <v>1507</v>
      </c>
      <c r="J36" t="s">
        <v>1508</v>
      </c>
      <c r="K36">
        <v>26.14</v>
      </c>
      <c r="L36">
        <v>2.5739999999999998</v>
      </c>
      <c r="M36" s="1">
        <v>10</v>
      </c>
      <c r="N36" s="1" t="s">
        <v>443</v>
      </c>
    </row>
    <row r="37" spans="1:14" x14ac:dyDescent="0.25">
      <c r="A37" t="s">
        <v>1693</v>
      </c>
      <c r="B37" t="s">
        <v>1609</v>
      </c>
      <c r="C37" t="s">
        <v>448</v>
      </c>
      <c r="D37" s="4">
        <v>7.91826999282918E-2</v>
      </c>
      <c r="E37" s="3">
        <v>30519.843934619101</v>
      </c>
      <c r="H37" t="s">
        <v>297</v>
      </c>
      <c r="I37" t="s">
        <v>58</v>
      </c>
      <c r="J37" t="s">
        <v>1509</v>
      </c>
      <c r="K37">
        <v>7.13</v>
      </c>
      <c r="L37">
        <v>2.5739999999999998</v>
      </c>
      <c r="M37" s="1">
        <v>10</v>
      </c>
      <c r="N37" s="1" t="s">
        <v>443</v>
      </c>
    </row>
    <row r="38" spans="1:14" x14ac:dyDescent="0.25">
      <c r="A38" t="s">
        <v>1694</v>
      </c>
      <c r="B38" t="s">
        <v>1609</v>
      </c>
      <c r="C38" t="s">
        <v>9</v>
      </c>
      <c r="D38" s="4">
        <v>3.0068249214745799E-2</v>
      </c>
      <c r="E38" s="3">
        <v>300446.78584367101</v>
      </c>
      <c r="F38" s="3">
        <f>E38/7.8</f>
        <v>38518.818697906543</v>
      </c>
      <c r="G38" s="3">
        <f>F38/2</f>
        <v>19259.409348953272</v>
      </c>
      <c r="H38" t="s">
        <v>297</v>
      </c>
      <c r="I38" t="s">
        <v>1483</v>
      </c>
      <c r="J38" t="s">
        <v>1484</v>
      </c>
      <c r="K38">
        <v>23.59</v>
      </c>
      <c r="L38">
        <v>2.637</v>
      </c>
      <c r="M38" s="1">
        <v>10</v>
      </c>
      <c r="N38" s="1" t="s">
        <v>443</v>
      </c>
    </row>
    <row r="39" spans="1:14" x14ac:dyDescent="0.25">
      <c r="A39" t="s">
        <v>1694</v>
      </c>
      <c r="B39" t="s">
        <v>1609</v>
      </c>
      <c r="C39" t="s">
        <v>448</v>
      </c>
      <c r="D39" s="4">
        <v>6.8855283710971202E-2</v>
      </c>
      <c r="E39" s="3">
        <v>39924.374547481602</v>
      </c>
      <c r="H39" t="s">
        <v>297</v>
      </c>
      <c r="I39" t="s">
        <v>100</v>
      </c>
      <c r="J39" t="s">
        <v>1485</v>
      </c>
      <c r="K39">
        <v>7.13</v>
      </c>
      <c r="L39">
        <v>2.637</v>
      </c>
      <c r="M39" s="1">
        <v>10</v>
      </c>
      <c r="N39" s="1" t="s">
        <v>443</v>
      </c>
    </row>
    <row r="40" spans="1:14" x14ac:dyDescent="0.25">
      <c r="A40" t="s">
        <v>1696</v>
      </c>
      <c r="B40" t="s">
        <v>1609</v>
      </c>
      <c r="C40" t="s">
        <v>9</v>
      </c>
      <c r="D40" s="4">
        <v>3.0881112770077102E-2</v>
      </c>
      <c r="E40" s="3">
        <v>2760348.9322946202</v>
      </c>
      <c r="F40" s="3">
        <f>E40/7.8</f>
        <v>353890.88875572057</v>
      </c>
      <c r="G40" s="3">
        <f>F40/2</f>
        <v>176945.44437786029</v>
      </c>
      <c r="H40" t="s">
        <v>198</v>
      </c>
      <c r="I40" t="s">
        <v>1539</v>
      </c>
      <c r="J40" t="s">
        <v>1540</v>
      </c>
      <c r="K40">
        <v>22.95</v>
      </c>
      <c r="L40">
        <v>2.6219999999999999</v>
      </c>
      <c r="M40" s="1">
        <v>100</v>
      </c>
      <c r="N40" s="1" t="s">
        <v>443</v>
      </c>
    </row>
    <row r="41" spans="1:14" x14ac:dyDescent="0.25">
      <c r="A41" t="s">
        <v>1696</v>
      </c>
      <c r="B41" t="s">
        <v>1609</v>
      </c>
      <c r="C41" t="s">
        <v>448</v>
      </c>
      <c r="D41" s="4">
        <v>7.7375643000479097E-2</v>
      </c>
      <c r="E41" s="3">
        <v>314570.62674207002</v>
      </c>
      <c r="H41" t="s">
        <v>198</v>
      </c>
      <c r="I41" t="s">
        <v>1541</v>
      </c>
      <c r="J41" t="s">
        <v>1506</v>
      </c>
      <c r="K41">
        <v>7.13</v>
      </c>
      <c r="L41">
        <v>2.6219999999999999</v>
      </c>
      <c r="M41" s="1">
        <v>100</v>
      </c>
      <c r="N41" s="1" t="s">
        <v>443</v>
      </c>
    </row>
    <row r="42" spans="1:14" x14ac:dyDescent="0.25">
      <c r="A42" t="s">
        <v>1711</v>
      </c>
      <c r="B42" t="s">
        <v>1609</v>
      </c>
      <c r="C42" t="s">
        <v>9</v>
      </c>
      <c r="D42" s="4">
        <v>0.14371515224591599</v>
      </c>
      <c r="E42" s="3">
        <v>8912.3584403503191</v>
      </c>
      <c r="F42" s="3">
        <f>E42/7.8</f>
        <v>1142.6100564551691</v>
      </c>
      <c r="G42" s="3">
        <f>F42/2</f>
        <v>571.30502822758456</v>
      </c>
      <c r="H42" t="s">
        <v>169</v>
      </c>
      <c r="I42" t="s">
        <v>1577</v>
      </c>
      <c r="J42" t="s">
        <v>1578</v>
      </c>
      <c r="K42">
        <v>31.88</v>
      </c>
      <c r="L42">
        <v>2.61</v>
      </c>
      <c r="M42" s="1">
        <v>10</v>
      </c>
      <c r="N42" s="1" t="s">
        <v>443</v>
      </c>
    </row>
    <row r="43" spans="1:14" x14ac:dyDescent="0.25">
      <c r="A43" t="s">
        <v>1711</v>
      </c>
      <c r="B43" t="s">
        <v>1609</v>
      </c>
      <c r="C43" t="s">
        <v>448</v>
      </c>
      <c r="D43" s="4">
        <v>0.39199313163451499</v>
      </c>
      <c r="E43" s="3">
        <v>1186.15372423808</v>
      </c>
      <c r="H43" t="s">
        <v>169</v>
      </c>
      <c r="I43" t="s">
        <v>1579</v>
      </c>
      <c r="J43" t="s">
        <v>145</v>
      </c>
      <c r="K43">
        <v>7.13</v>
      </c>
      <c r="L43">
        <v>2.61</v>
      </c>
      <c r="M43" s="1">
        <v>10</v>
      </c>
      <c r="N43" s="1" t="s">
        <v>443</v>
      </c>
    </row>
    <row r="44" spans="1:14" x14ac:dyDescent="0.25">
      <c r="A44" t="s">
        <v>1728</v>
      </c>
      <c r="B44" t="s">
        <v>1609</v>
      </c>
      <c r="C44" t="s">
        <v>9</v>
      </c>
      <c r="D44" s="4">
        <v>3.3253043152664301E-2</v>
      </c>
      <c r="E44" s="3">
        <v>228177.801113511</v>
      </c>
      <c r="F44" s="3">
        <f>E44/7.8</f>
        <v>29253.564245321922</v>
      </c>
      <c r="G44" s="3">
        <f>F44/2</f>
        <v>14626.782122660961</v>
      </c>
      <c r="H44" t="s">
        <v>56</v>
      </c>
      <c r="I44" t="s">
        <v>1542</v>
      </c>
      <c r="J44" t="s">
        <v>1543</v>
      </c>
      <c r="K44">
        <v>21.04</v>
      </c>
      <c r="L44">
        <v>2.5249999999999999</v>
      </c>
      <c r="M44" s="1">
        <v>10</v>
      </c>
      <c r="N44" s="1" t="s">
        <v>443</v>
      </c>
    </row>
    <row r="45" spans="1:14" x14ac:dyDescent="0.25">
      <c r="A45" t="s">
        <v>1728</v>
      </c>
      <c r="B45" t="s">
        <v>1609</v>
      </c>
      <c r="C45" t="s">
        <v>448</v>
      </c>
      <c r="D45" s="4">
        <v>7.9247317898712102E-2</v>
      </c>
      <c r="E45" s="3">
        <v>31074.962021182699</v>
      </c>
      <c r="H45" t="s">
        <v>56</v>
      </c>
      <c r="I45" t="s">
        <v>1544</v>
      </c>
      <c r="J45" t="s">
        <v>1545</v>
      </c>
      <c r="K45">
        <v>7.13</v>
      </c>
      <c r="L45">
        <v>2.5249999999999999</v>
      </c>
      <c r="M45" s="1">
        <v>10</v>
      </c>
      <c r="N45" s="1" t="s">
        <v>443</v>
      </c>
    </row>
    <row r="46" spans="1:14" x14ac:dyDescent="0.25">
      <c r="A46" t="s">
        <v>1730</v>
      </c>
      <c r="B46" t="s">
        <v>1609</v>
      </c>
      <c r="C46" t="s">
        <v>9</v>
      </c>
      <c r="D46" s="4">
        <v>3.1317115043002698E-2</v>
      </c>
      <c r="E46" s="3">
        <v>26357036.256892301</v>
      </c>
      <c r="F46" s="3">
        <f>E46/7.8</f>
        <v>3379107.2124220901</v>
      </c>
      <c r="G46" s="3">
        <f>F46/2</f>
        <v>1689553.6062110451</v>
      </c>
      <c r="H46" t="s">
        <v>552</v>
      </c>
      <c r="I46" t="s">
        <v>1537</v>
      </c>
      <c r="J46" t="s">
        <v>1538</v>
      </c>
      <c r="K46">
        <v>24.23</v>
      </c>
      <c r="L46">
        <v>2.6320000000000001</v>
      </c>
      <c r="M46" s="1">
        <v>1000</v>
      </c>
      <c r="N46" s="1" t="s">
        <v>443</v>
      </c>
    </row>
    <row r="47" spans="1:14" x14ac:dyDescent="0.25">
      <c r="A47" t="s">
        <v>1730</v>
      </c>
      <c r="B47" t="s">
        <v>1609</v>
      </c>
      <c r="C47" t="s">
        <v>448</v>
      </c>
      <c r="D47" s="4">
        <v>7.6430335137188901E-2</v>
      </c>
      <c r="E47" s="3">
        <v>3222082.54792909</v>
      </c>
      <c r="H47" t="s">
        <v>552</v>
      </c>
      <c r="I47" t="s">
        <v>68</v>
      </c>
      <c r="J47" t="s">
        <v>1533</v>
      </c>
      <c r="K47">
        <v>7.13</v>
      </c>
      <c r="L47">
        <v>2.6320000000000001</v>
      </c>
      <c r="M47" s="1">
        <v>1000</v>
      </c>
      <c r="N47" s="1" t="s">
        <v>443</v>
      </c>
    </row>
    <row r="48" spans="1:14" x14ac:dyDescent="0.25">
      <c r="A48" t="s">
        <v>1735</v>
      </c>
      <c r="B48" t="s">
        <v>1609</v>
      </c>
      <c r="C48" t="s">
        <v>9</v>
      </c>
      <c r="D48" s="4">
        <v>2.9121912743657399E-2</v>
      </c>
      <c r="E48" s="3">
        <v>3631601.90193266</v>
      </c>
      <c r="F48" s="3">
        <f>E48/7.8</f>
        <v>465589.9874272641</v>
      </c>
      <c r="G48" s="3">
        <f>F48/2</f>
        <v>232794.99371363205</v>
      </c>
      <c r="H48" t="s">
        <v>130</v>
      </c>
      <c r="I48" t="s">
        <v>1548</v>
      </c>
      <c r="J48" t="s">
        <v>1549</v>
      </c>
      <c r="K48">
        <v>18.489999999999998</v>
      </c>
      <c r="L48">
        <v>2.468</v>
      </c>
      <c r="M48" s="1">
        <v>100</v>
      </c>
      <c r="N48" s="1" t="s">
        <v>443</v>
      </c>
    </row>
    <row r="49" spans="1:14" x14ac:dyDescent="0.25">
      <c r="A49" t="s">
        <v>1735</v>
      </c>
      <c r="B49" t="s">
        <v>1609</v>
      </c>
      <c r="C49" t="s">
        <v>448</v>
      </c>
      <c r="D49" s="4">
        <v>6.7901165870538696E-2</v>
      </c>
      <c r="E49" s="3">
        <v>440018.61388396501</v>
      </c>
      <c r="H49" t="s">
        <v>130</v>
      </c>
      <c r="I49" t="s">
        <v>1550</v>
      </c>
      <c r="J49" t="s">
        <v>1551</v>
      </c>
      <c r="K49">
        <v>7.13</v>
      </c>
      <c r="L49">
        <v>2.468</v>
      </c>
      <c r="M49" s="1">
        <v>100</v>
      </c>
      <c r="N49" s="1" t="s">
        <v>443</v>
      </c>
    </row>
    <row r="50" spans="1:14" x14ac:dyDescent="0.25">
      <c r="A50" t="s">
        <v>1736</v>
      </c>
      <c r="B50" t="s">
        <v>1609</v>
      </c>
      <c r="C50" t="s">
        <v>9</v>
      </c>
      <c r="D50" s="4">
        <v>2.8280221082853899E-2</v>
      </c>
      <c r="E50" s="3">
        <v>4193527.2533840602</v>
      </c>
      <c r="F50" s="3">
        <f>E50/7.8</f>
        <v>537631.69915180258</v>
      </c>
      <c r="G50" s="3">
        <f>F50/2</f>
        <v>268815.84957590129</v>
      </c>
      <c r="H50" t="s">
        <v>17</v>
      </c>
      <c r="I50" t="s">
        <v>1589</v>
      </c>
      <c r="J50" t="s">
        <v>90</v>
      </c>
      <c r="K50">
        <v>27.41</v>
      </c>
      <c r="L50">
        <v>2.4300000000000002</v>
      </c>
      <c r="M50" s="1">
        <v>100</v>
      </c>
      <c r="N50" s="1" t="s">
        <v>443</v>
      </c>
    </row>
    <row r="51" spans="1:14" x14ac:dyDescent="0.25">
      <c r="A51" t="s">
        <v>1736</v>
      </c>
      <c r="B51" t="s">
        <v>1609</v>
      </c>
      <c r="C51" t="s">
        <v>448</v>
      </c>
      <c r="D51" s="4">
        <v>6.18698048178132E-2</v>
      </c>
      <c r="E51" s="3">
        <v>545060.95578007598</v>
      </c>
      <c r="H51" t="s">
        <v>62</v>
      </c>
      <c r="I51" t="s">
        <v>1590</v>
      </c>
      <c r="J51" t="s">
        <v>1591</v>
      </c>
      <c r="K51">
        <v>7.13</v>
      </c>
      <c r="L51">
        <v>2.4300000000000002</v>
      </c>
      <c r="M51" s="1">
        <v>100</v>
      </c>
      <c r="N51" s="1" t="s">
        <v>443</v>
      </c>
    </row>
    <row r="52" spans="1:14" x14ac:dyDescent="0.25">
      <c r="A52" t="s">
        <v>1751</v>
      </c>
      <c r="B52" t="s">
        <v>1609</v>
      </c>
      <c r="C52" t="s">
        <v>9</v>
      </c>
      <c r="D52" s="4">
        <v>3.9752091080262501E-2</v>
      </c>
      <c r="E52" s="3">
        <v>139768.18245325499</v>
      </c>
      <c r="F52" s="3">
        <f>E52/7.8</f>
        <v>17918.997750417308</v>
      </c>
      <c r="G52" s="3">
        <f>F52/2</f>
        <v>8959.4988752086538</v>
      </c>
      <c r="H52" t="s">
        <v>1103</v>
      </c>
      <c r="I52" t="s">
        <v>1580</v>
      </c>
      <c r="J52" t="s">
        <v>1581</v>
      </c>
      <c r="K52">
        <v>19.760000000000002</v>
      </c>
      <c r="L52">
        <v>2.5979999999999999</v>
      </c>
      <c r="M52" s="1">
        <v>10</v>
      </c>
      <c r="N52" s="1" t="s">
        <v>443</v>
      </c>
    </row>
    <row r="53" spans="1:14" x14ac:dyDescent="0.25">
      <c r="A53" t="s">
        <v>1751</v>
      </c>
      <c r="B53" t="s">
        <v>1609</v>
      </c>
      <c r="C53" t="s">
        <v>448</v>
      </c>
      <c r="D53" s="4">
        <v>9.9003643381589193E-2</v>
      </c>
      <c r="E53" s="3">
        <v>19109.0403138203</v>
      </c>
      <c r="H53" t="s">
        <v>347</v>
      </c>
      <c r="I53" t="s">
        <v>904</v>
      </c>
      <c r="J53" t="s">
        <v>1423</v>
      </c>
      <c r="K53">
        <v>7.13</v>
      </c>
      <c r="L53">
        <v>2.5979999999999999</v>
      </c>
      <c r="M53" s="1">
        <v>10</v>
      </c>
      <c r="N53" s="1" t="s">
        <v>443</v>
      </c>
    </row>
    <row r="54" spans="1:14" x14ac:dyDescent="0.25">
      <c r="A54" t="s">
        <v>1778</v>
      </c>
      <c r="B54" t="s">
        <v>1609</v>
      </c>
      <c r="C54" t="s">
        <v>9</v>
      </c>
      <c r="D54" s="4">
        <v>3.8796227859379501E-2</v>
      </c>
      <c r="E54" s="3">
        <v>1531288.39799794</v>
      </c>
      <c r="F54" s="3">
        <f>E54/7.8</f>
        <v>196319.02538435129</v>
      </c>
      <c r="G54" s="3">
        <f>F54/2</f>
        <v>98159.512692175645</v>
      </c>
      <c r="H54" t="s">
        <v>757</v>
      </c>
      <c r="I54" t="s">
        <v>335</v>
      </c>
      <c r="J54" t="s">
        <v>1582</v>
      </c>
      <c r="K54">
        <v>22.31</v>
      </c>
      <c r="L54">
        <v>2.516</v>
      </c>
      <c r="M54" s="1">
        <v>100</v>
      </c>
      <c r="N54" s="1" t="s">
        <v>443</v>
      </c>
    </row>
    <row r="55" spans="1:14" x14ac:dyDescent="0.25">
      <c r="A55" t="s">
        <v>1778</v>
      </c>
      <c r="B55" t="s">
        <v>1609</v>
      </c>
      <c r="C55" t="s">
        <v>448</v>
      </c>
      <c r="D55" s="4">
        <v>9.7522798943533495E-2</v>
      </c>
      <c r="E55" s="3">
        <v>203084.050326155</v>
      </c>
      <c r="H55" t="s">
        <v>114</v>
      </c>
      <c r="I55" t="s">
        <v>846</v>
      </c>
      <c r="J55" t="s">
        <v>1583</v>
      </c>
      <c r="K55">
        <v>7.13</v>
      </c>
      <c r="L55">
        <v>2.516</v>
      </c>
      <c r="M55" s="1">
        <v>100</v>
      </c>
      <c r="N55" s="1" t="s">
        <v>443</v>
      </c>
    </row>
    <row r="56" spans="1:14" x14ac:dyDescent="0.25">
      <c r="A56" t="s">
        <v>1779</v>
      </c>
      <c r="B56" t="s">
        <v>1609</v>
      </c>
      <c r="C56" t="s">
        <v>9</v>
      </c>
      <c r="D56" s="4">
        <v>3.0204325662241301E-2</v>
      </c>
      <c r="E56" s="3">
        <v>29849867.493120499</v>
      </c>
      <c r="F56" s="3">
        <f>E56/7.8</f>
        <v>3826906.0888616024</v>
      </c>
      <c r="G56" s="3">
        <f>F56/2</f>
        <v>1913453.0444308012</v>
      </c>
      <c r="H56" t="s">
        <v>88</v>
      </c>
      <c r="I56" t="s">
        <v>1561</v>
      </c>
      <c r="J56" t="s">
        <v>1562</v>
      </c>
      <c r="K56">
        <v>26.14</v>
      </c>
      <c r="L56">
        <v>2.625</v>
      </c>
      <c r="M56" s="1">
        <v>1000</v>
      </c>
      <c r="N56" s="1" t="s">
        <v>443</v>
      </c>
    </row>
    <row r="57" spans="1:14" x14ac:dyDescent="0.25">
      <c r="A57" t="s">
        <v>1779</v>
      </c>
      <c r="B57" t="s">
        <v>1609</v>
      </c>
      <c r="C57" t="s">
        <v>448</v>
      </c>
      <c r="D57" s="4">
        <v>7.1931856147929005E-2</v>
      </c>
      <c r="E57" s="3">
        <v>3668747.76707236</v>
      </c>
      <c r="H57" t="s">
        <v>88</v>
      </c>
      <c r="I57" t="s">
        <v>1563</v>
      </c>
      <c r="J57" t="s">
        <v>339</v>
      </c>
      <c r="K57">
        <v>7.13</v>
      </c>
      <c r="L57">
        <v>2.625</v>
      </c>
      <c r="M57" s="1">
        <v>1000</v>
      </c>
      <c r="N57" s="1" t="s">
        <v>443</v>
      </c>
    </row>
    <row r="58" spans="1:14" x14ac:dyDescent="0.25">
      <c r="A58" t="s">
        <v>1803</v>
      </c>
      <c r="B58" t="s">
        <v>1609</v>
      </c>
      <c r="C58" t="s">
        <v>9</v>
      </c>
      <c r="D58" s="4">
        <v>3.4330081893707898E-2</v>
      </c>
      <c r="E58" s="3">
        <v>19912253.9762832</v>
      </c>
      <c r="F58" s="3">
        <f>E58/7.8</f>
        <v>2552853.0738824615</v>
      </c>
      <c r="G58" s="3">
        <f>F58/2</f>
        <v>1276426.5369412308</v>
      </c>
      <c r="H58" t="s">
        <v>198</v>
      </c>
      <c r="I58" t="s">
        <v>1472</v>
      </c>
      <c r="J58" t="s">
        <v>1473</v>
      </c>
      <c r="K58">
        <v>22.31</v>
      </c>
      <c r="L58">
        <v>2.6440000000000001</v>
      </c>
      <c r="M58" s="1">
        <v>1000</v>
      </c>
      <c r="N58" s="1" t="s">
        <v>443</v>
      </c>
    </row>
    <row r="59" spans="1:14" x14ac:dyDescent="0.25">
      <c r="A59" t="s">
        <v>1803</v>
      </c>
      <c r="B59" t="s">
        <v>1609</v>
      </c>
      <c r="C59" t="s">
        <v>448</v>
      </c>
      <c r="D59" s="4">
        <v>8.2694068759273806E-2</v>
      </c>
      <c r="E59" s="3">
        <v>2716782.5097757899</v>
      </c>
      <c r="H59" t="s">
        <v>198</v>
      </c>
      <c r="I59" t="s">
        <v>1474</v>
      </c>
      <c r="J59" t="s">
        <v>1475</v>
      </c>
      <c r="K59">
        <v>7.13</v>
      </c>
      <c r="L59">
        <v>2.6440000000000001</v>
      </c>
      <c r="M59" s="1">
        <v>1000</v>
      </c>
      <c r="N59" s="1" t="s">
        <v>443</v>
      </c>
    </row>
    <row r="60" spans="1:14" x14ac:dyDescent="0.25">
      <c r="A60" t="s">
        <v>1812</v>
      </c>
      <c r="B60" t="s">
        <v>1609</v>
      </c>
      <c r="C60" t="s">
        <v>9</v>
      </c>
      <c r="D60" s="4">
        <v>3.1306937381522799E-2</v>
      </c>
      <c r="E60" s="3">
        <v>284656.42418873298</v>
      </c>
      <c r="F60" s="3">
        <f>E60/7.8</f>
        <v>36494.413357529869</v>
      </c>
      <c r="G60" s="3">
        <f>F60/2</f>
        <v>18247.206678764935</v>
      </c>
      <c r="H60" t="s">
        <v>232</v>
      </c>
      <c r="I60" t="s">
        <v>1540</v>
      </c>
      <c r="J60" t="s">
        <v>1584</v>
      </c>
      <c r="K60">
        <v>24.86</v>
      </c>
      <c r="L60">
        <v>2.4319999999999999</v>
      </c>
      <c r="M60" s="1">
        <v>10</v>
      </c>
      <c r="N60" s="1" t="s">
        <v>443</v>
      </c>
    </row>
    <row r="61" spans="1:14" x14ac:dyDescent="0.25">
      <c r="A61" t="s">
        <v>1812</v>
      </c>
      <c r="B61" t="s">
        <v>1609</v>
      </c>
      <c r="C61" t="s">
        <v>448</v>
      </c>
      <c r="D61" s="4">
        <v>7.4693258673204005E-2</v>
      </c>
      <c r="E61" s="3">
        <v>36513.121580073101</v>
      </c>
      <c r="H61" t="s">
        <v>232</v>
      </c>
      <c r="I61" t="s">
        <v>871</v>
      </c>
      <c r="J61" t="s">
        <v>1585</v>
      </c>
      <c r="K61">
        <v>7.13</v>
      </c>
      <c r="L61">
        <v>2.4319999999999999</v>
      </c>
      <c r="M61" s="1">
        <v>10</v>
      </c>
      <c r="N61" s="1" t="s">
        <v>443</v>
      </c>
    </row>
    <row r="62" spans="1:14" x14ac:dyDescent="0.25">
      <c r="A62" t="s">
        <v>1816</v>
      </c>
      <c r="B62" t="s">
        <v>1609</v>
      </c>
      <c r="C62" t="s">
        <v>9</v>
      </c>
      <c r="D62" s="4">
        <v>2.7339057254651598E-2</v>
      </c>
      <c r="E62" s="3">
        <v>4661435.3934181798</v>
      </c>
      <c r="F62" s="3">
        <f>E62/7.8</f>
        <v>597619.92223310005</v>
      </c>
      <c r="G62" s="3">
        <f>F62/2</f>
        <v>298809.96111655002</v>
      </c>
      <c r="H62" t="s">
        <v>17</v>
      </c>
      <c r="I62" t="s">
        <v>1456</v>
      </c>
      <c r="J62" t="s">
        <v>1457</v>
      </c>
      <c r="K62">
        <v>19.760000000000002</v>
      </c>
      <c r="L62">
        <v>2.6539999999999999</v>
      </c>
      <c r="M62" s="1">
        <v>100</v>
      </c>
      <c r="N62" s="1" t="s">
        <v>443</v>
      </c>
    </row>
    <row r="63" spans="1:14" x14ac:dyDescent="0.25">
      <c r="A63" t="s">
        <v>1816</v>
      </c>
      <c r="B63" t="s">
        <v>1609</v>
      </c>
      <c r="C63" t="s">
        <v>448</v>
      </c>
      <c r="D63" s="4">
        <v>5.7927279109880402E-2</v>
      </c>
      <c r="E63" s="3">
        <v>576298.11792871705</v>
      </c>
      <c r="H63" t="s">
        <v>305</v>
      </c>
      <c r="I63" t="s">
        <v>1458</v>
      </c>
      <c r="J63" t="s">
        <v>1459</v>
      </c>
      <c r="K63">
        <v>7.13</v>
      </c>
      <c r="L63">
        <v>2.6539999999999999</v>
      </c>
      <c r="M63" s="1">
        <v>100</v>
      </c>
      <c r="N63" s="1" t="s">
        <v>443</v>
      </c>
    </row>
    <row r="64" spans="1:14" x14ac:dyDescent="0.25">
      <c r="A64" t="s">
        <v>1832</v>
      </c>
      <c r="B64" t="s">
        <v>1609</v>
      </c>
      <c r="C64" t="s">
        <v>9</v>
      </c>
      <c r="D64" s="4">
        <v>3.1645000770562197E-2</v>
      </c>
      <c r="E64" s="3">
        <v>277970.52861842199</v>
      </c>
      <c r="F64" s="3">
        <f>E64/7.8</f>
        <v>35637.247258772048</v>
      </c>
      <c r="G64" s="3">
        <f>F64/2</f>
        <v>17818.623629386024</v>
      </c>
      <c r="H64" t="s">
        <v>62</v>
      </c>
      <c r="I64" t="s">
        <v>1569</v>
      </c>
      <c r="J64" t="s">
        <v>1570</v>
      </c>
      <c r="K64">
        <v>18.489999999999998</v>
      </c>
      <c r="L64">
        <v>2.4119999999999999</v>
      </c>
      <c r="M64" s="1">
        <v>10</v>
      </c>
      <c r="N64" s="1" t="s">
        <v>443</v>
      </c>
    </row>
    <row r="65" spans="1:14" x14ac:dyDescent="0.25">
      <c r="A65" t="s">
        <v>1832</v>
      </c>
      <c r="B65" t="s">
        <v>1609</v>
      </c>
      <c r="C65" t="s">
        <v>448</v>
      </c>
      <c r="D65" s="4">
        <v>8.1472192535939597E-2</v>
      </c>
      <c r="E65" s="3">
        <v>30761.572496916699</v>
      </c>
      <c r="H65" t="s">
        <v>62</v>
      </c>
      <c r="I65" t="s">
        <v>1571</v>
      </c>
      <c r="J65" t="s">
        <v>1496</v>
      </c>
      <c r="K65">
        <v>7.13</v>
      </c>
      <c r="L65">
        <v>2.4119999999999999</v>
      </c>
      <c r="M65" s="1">
        <v>10</v>
      </c>
      <c r="N65" s="1" t="s">
        <v>443</v>
      </c>
    </row>
    <row r="66" spans="1:14" x14ac:dyDescent="0.25">
      <c r="A66" t="s">
        <v>1849</v>
      </c>
      <c r="B66" t="s">
        <v>1609</v>
      </c>
      <c r="C66" t="s">
        <v>9</v>
      </c>
      <c r="D66" s="4">
        <v>2.7760790654279999E-2</v>
      </c>
      <c r="E66" s="3">
        <v>450201.793414074</v>
      </c>
      <c r="F66" s="3">
        <f>E66/7.8</f>
        <v>57718.178642830004</v>
      </c>
      <c r="G66" s="3">
        <f>F66/2</f>
        <v>28859.089321415002</v>
      </c>
      <c r="H66" t="s">
        <v>17</v>
      </c>
      <c r="I66" t="s">
        <v>311</v>
      </c>
      <c r="J66" t="s">
        <v>1504</v>
      </c>
      <c r="K66">
        <v>17.850000000000001</v>
      </c>
      <c r="L66">
        <v>2.492</v>
      </c>
      <c r="M66" s="1">
        <v>10</v>
      </c>
      <c r="N66" s="1" t="s">
        <v>443</v>
      </c>
    </row>
    <row r="67" spans="1:14" x14ac:dyDescent="0.25">
      <c r="A67" t="s">
        <v>1849</v>
      </c>
      <c r="B67" t="s">
        <v>1609</v>
      </c>
      <c r="C67" t="s">
        <v>448</v>
      </c>
      <c r="D67" s="4">
        <v>6.43092413783318E-2</v>
      </c>
      <c r="E67" s="3">
        <v>48955.489519753603</v>
      </c>
      <c r="H67" t="s">
        <v>169</v>
      </c>
      <c r="I67" t="s">
        <v>1266</v>
      </c>
      <c r="J67" t="s">
        <v>1505</v>
      </c>
      <c r="K67">
        <v>7.13</v>
      </c>
      <c r="L67">
        <v>2.492</v>
      </c>
      <c r="M67" s="1">
        <v>10</v>
      </c>
      <c r="N67" s="1" t="s">
        <v>443</v>
      </c>
    </row>
    <row r="68" spans="1:14" x14ac:dyDescent="0.25">
      <c r="A68" t="s">
        <v>1854</v>
      </c>
      <c r="B68" t="s">
        <v>1609</v>
      </c>
      <c r="C68" t="s">
        <v>9</v>
      </c>
      <c r="D68" s="4">
        <v>2.83536179964867E-2</v>
      </c>
      <c r="E68" s="3">
        <v>388920.430263619</v>
      </c>
      <c r="F68" s="3">
        <f>E68/7.8</f>
        <v>49861.593623540895</v>
      </c>
      <c r="G68" s="3">
        <f>F68/2</f>
        <v>24930.796811770448</v>
      </c>
      <c r="H68" t="s">
        <v>124</v>
      </c>
      <c r="I68" t="s">
        <v>1514</v>
      </c>
      <c r="J68" t="s">
        <v>1515</v>
      </c>
      <c r="K68">
        <v>22.31</v>
      </c>
      <c r="L68">
        <v>2.5859999999999999</v>
      </c>
      <c r="M68" s="1">
        <v>10</v>
      </c>
      <c r="N68" s="1" t="s">
        <v>443</v>
      </c>
    </row>
    <row r="69" spans="1:14" x14ac:dyDescent="0.25">
      <c r="A69" t="s">
        <v>1854</v>
      </c>
      <c r="B69" t="s">
        <v>1609</v>
      </c>
      <c r="C69" t="s">
        <v>448</v>
      </c>
      <c r="D69" s="4">
        <v>6.83111371813689E-2</v>
      </c>
      <c r="E69" s="3">
        <v>41473.705295610896</v>
      </c>
      <c r="H69" t="s">
        <v>17</v>
      </c>
      <c r="I69" t="s">
        <v>1516</v>
      </c>
      <c r="J69" t="s">
        <v>1517</v>
      </c>
      <c r="K69">
        <v>7.13</v>
      </c>
      <c r="L69">
        <v>2.5859999999999999</v>
      </c>
      <c r="M69" s="1">
        <v>10</v>
      </c>
      <c r="N69" s="1" t="s">
        <v>443</v>
      </c>
    </row>
    <row r="70" spans="1:14" x14ac:dyDescent="0.25">
      <c r="A70" t="s">
        <v>1856</v>
      </c>
      <c r="B70" t="s">
        <v>1609</v>
      </c>
      <c r="C70" t="s">
        <v>9</v>
      </c>
      <c r="D70" s="4">
        <v>2.9167163271750798E-2</v>
      </c>
      <c r="E70" s="3">
        <v>354207.54434175103</v>
      </c>
      <c r="F70" s="3">
        <f>E70/7.8</f>
        <v>45411.223633557827</v>
      </c>
      <c r="G70" s="3">
        <f>F70/2</f>
        <v>22705.611816778914</v>
      </c>
      <c r="H70" t="s">
        <v>82</v>
      </c>
      <c r="I70" t="s">
        <v>1546</v>
      </c>
      <c r="J70" t="s">
        <v>1547</v>
      </c>
      <c r="K70">
        <v>27.41</v>
      </c>
      <c r="L70">
        <v>2.5219999999999998</v>
      </c>
      <c r="M70" s="1">
        <v>10</v>
      </c>
      <c r="N70" s="1" t="s">
        <v>443</v>
      </c>
    </row>
    <row r="71" spans="1:14" x14ac:dyDescent="0.25">
      <c r="A71" t="s">
        <v>1856</v>
      </c>
      <c r="B71" t="s">
        <v>1609</v>
      </c>
      <c r="C71" t="s">
        <v>448</v>
      </c>
      <c r="D71" s="4">
        <v>6.3299150895539696E-2</v>
      </c>
      <c r="E71" s="3">
        <v>50059.813314736697</v>
      </c>
      <c r="H71" t="s">
        <v>82</v>
      </c>
      <c r="I71" t="s">
        <v>1352</v>
      </c>
      <c r="J71" t="s">
        <v>1389</v>
      </c>
      <c r="K71">
        <v>7.13</v>
      </c>
      <c r="L71">
        <v>2.5219999999999998</v>
      </c>
      <c r="M71" s="1">
        <v>10</v>
      </c>
      <c r="N71" s="1" t="s">
        <v>443</v>
      </c>
    </row>
    <row r="72" spans="1:14" x14ac:dyDescent="0.25">
      <c r="A72" t="s">
        <v>1858</v>
      </c>
      <c r="B72" t="s">
        <v>1609</v>
      </c>
      <c r="C72" t="s">
        <v>9</v>
      </c>
      <c r="D72" s="4">
        <v>3.0369400552030801E-2</v>
      </c>
      <c r="E72" s="3">
        <v>303293.82430619898</v>
      </c>
      <c r="F72" s="3">
        <f>E72/7.8</f>
        <v>38883.823628999868</v>
      </c>
      <c r="G72" s="3">
        <f>F72/2</f>
        <v>19441.911814499934</v>
      </c>
      <c r="H72" t="s">
        <v>308</v>
      </c>
      <c r="I72" t="s">
        <v>1530</v>
      </c>
      <c r="J72" t="s">
        <v>1531</v>
      </c>
      <c r="K72">
        <v>17.21</v>
      </c>
      <c r="L72">
        <v>2.5219999999999998</v>
      </c>
      <c r="M72" s="1">
        <v>10</v>
      </c>
      <c r="N72" s="1" t="s">
        <v>443</v>
      </c>
    </row>
    <row r="73" spans="1:14" x14ac:dyDescent="0.25">
      <c r="A73" t="s">
        <v>1858</v>
      </c>
      <c r="B73" t="s">
        <v>1609</v>
      </c>
      <c r="C73" t="s">
        <v>448</v>
      </c>
      <c r="D73" s="4">
        <v>7.5130078229521696E-2</v>
      </c>
      <c r="E73" s="3">
        <v>34752.508506805003</v>
      </c>
      <c r="H73" t="s">
        <v>308</v>
      </c>
      <c r="I73" t="s">
        <v>1532</v>
      </c>
      <c r="J73" t="s">
        <v>1533</v>
      </c>
      <c r="K73">
        <v>7.13</v>
      </c>
      <c r="L73">
        <v>2.5219999999999998</v>
      </c>
      <c r="M73" s="1">
        <v>10</v>
      </c>
      <c r="N73" s="1" t="s">
        <v>443</v>
      </c>
    </row>
    <row r="74" spans="1:14" x14ac:dyDescent="0.25">
      <c r="A74" t="s">
        <v>1870</v>
      </c>
      <c r="B74" t="s">
        <v>1609</v>
      </c>
      <c r="C74" t="s">
        <v>9</v>
      </c>
      <c r="D74" s="4">
        <v>2.91861241686719E-2</v>
      </c>
      <c r="E74" s="3">
        <v>360465.87812914897</v>
      </c>
      <c r="F74" s="3">
        <f>E74/7.8</f>
        <v>46213.574119121666</v>
      </c>
      <c r="G74" s="3">
        <f>F74/2</f>
        <v>23106.787059560833</v>
      </c>
      <c r="H74" t="s">
        <v>150</v>
      </c>
      <c r="I74" t="s">
        <v>1572</v>
      </c>
      <c r="J74" t="s">
        <v>1494</v>
      </c>
      <c r="K74">
        <v>21.04</v>
      </c>
      <c r="L74">
        <v>2.4670000000000001</v>
      </c>
      <c r="M74" s="1">
        <v>10</v>
      </c>
      <c r="N74" s="1" t="s">
        <v>443</v>
      </c>
    </row>
    <row r="75" spans="1:14" x14ac:dyDescent="0.25">
      <c r="A75" t="s">
        <v>1870</v>
      </c>
      <c r="B75" t="s">
        <v>1609</v>
      </c>
      <c r="C75" t="s">
        <v>448</v>
      </c>
      <c r="D75" s="4">
        <v>7.0845428609837502E-2</v>
      </c>
      <c r="E75" s="3">
        <v>40270.455806535203</v>
      </c>
      <c r="H75" t="s">
        <v>150</v>
      </c>
      <c r="I75" t="s">
        <v>1573</v>
      </c>
      <c r="J75" t="s">
        <v>1574</v>
      </c>
      <c r="K75">
        <v>7.13</v>
      </c>
      <c r="L75">
        <v>2.4670000000000001</v>
      </c>
      <c r="M75" s="1">
        <v>10</v>
      </c>
      <c r="N75" s="1" t="s">
        <v>443</v>
      </c>
    </row>
    <row r="76" spans="1:14" x14ac:dyDescent="0.25">
      <c r="A76" t="s">
        <v>1918</v>
      </c>
      <c r="B76" t="s">
        <v>1609</v>
      </c>
      <c r="C76" t="s">
        <v>9</v>
      </c>
      <c r="D76" s="4">
        <v>2.6821196382463299E-2</v>
      </c>
      <c r="E76" s="3">
        <v>589224.65638602094</v>
      </c>
      <c r="F76" s="3">
        <f>E76/7.8</f>
        <v>75541.622613592437</v>
      </c>
      <c r="G76" s="3">
        <f>F76/2</f>
        <v>37770.811306796219</v>
      </c>
      <c r="H76" t="s">
        <v>133</v>
      </c>
      <c r="I76" t="s">
        <v>1464</v>
      </c>
      <c r="J76" t="s">
        <v>485</v>
      </c>
      <c r="K76">
        <v>28.69</v>
      </c>
      <c r="L76">
        <v>2.6970000000000001</v>
      </c>
      <c r="M76" s="1">
        <v>10</v>
      </c>
      <c r="N76" s="1" t="s">
        <v>443</v>
      </c>
    </row>
    <row r="77" spans="1:14" x14ac:dyDescent="0.25">
      <c r="A77" t="s">
        <v>1918</v>
      </c>
      <c r="B77" t="s">
        <v>1609</v>
      </c>
      <c r="C77" t="s">
        <v>448</v>
      </c>
      <c r="D77" s="4">
        <v>5.24037444517843E-2</v>
      </c>
      <c r="E77" s="3">
        <v>70617.665837379202</v>
      </c>
      <c r="H77" t="s">
        <v>305</v>
      </c>
      <c r="I77" t="s">
        <v>1465</v>
      </c>
      <c r="J77" t="s">
        <v>694</v>
      </c>
      <c r="K77">
        <v>7.13</v>
      </c>
      <c r="L77">
        <v>2.6970000000000001</v>
      </c>
      <c r="M77" s="1">
        <v>10</v>
      </c>
      <c r="N77" s="1" t="s">
        <v>443</v>
      </c>
    </row>
    <row r="78" spans="1:14" x14ac:dyDescent="0.25">
      <c r="A78" t="s">
        <v>1931</v>
      </c>
      <c r="B78" t="s">
        <v>1609</v>
      </c>
      <c r="C78" t="s">
        <v>9</v>
      </c>
      <c r="D78" s="4">
        <v>3.22219985101432E-2</v>
      </c>
      <c r="E78" s="3">
        <v>238225.83790012501</v>
      </c>
      <c r="F78" s="3">
        <f>E78/7.8</f>
        <v>30541.77408975962</v>
      </c>
      <c r="G78" s="3">
        <f>F78/2</f>
        <v>15270.88704487981</v>
      </c>
      <c r="H78" t="s">
        <v>893</v>
      </c>
      <c r="I78" t="s">
        <v>1497</v>
      </c>
      <c r="J78" t="s">
        <v>1498</v>
      </c>
      <c r="K78">
        <v>24.86</v>
      </c>
      <c r="L78">
        <v>2.6579999999999999</v>
      </c>
      <c r="M78" s="1">
        <v>10</v>
      </c>
      <c r="N78" s="1" t="s">
        <v>443</v>
      </c>
    </row>
    <row r="79" spans="1:14" x14ac:dyDescent="0.25">
      <c r="A79" t="s">
        <v>1931</v>
      </c>
      <c r="B79" t="s">
        <v>1609</v>
      </c>
      <c r="C79" t="s">
        <v>448</v>
      </c>
      <c r="D79" s="4">
        <v>7.8671641300264106E-2</v>
      </c>
      <c r="E79" s="3">
        <v>30016.813435161399</v>
      </c>
      <c r="H79" t="s">
        <v>150</v>
      </c>
      <c r="I79" t="s">
        <v>126</v>
      </c>
      <c r="J79" t="s">
        <v>1499</v>
      </c>
      <c r="K79">
        <v>7.13</v>
      </c>
      <c r="L79">
        <v>2.6579999999999999</v>
      </c>
      <c r="M79" s="1">
        <v>10</v>
      </c>
      <c r="N79" s="1" t="s">
        <v>443</v>
      </c>
    </row>
    <row r="80" spans="1:14" x14ac:dyDescent="0.25">
      <c r="A80" t="s">
        <v>1932</v>
      </c>
      <c r="B80" t="s">
        <v>1609</v>
      </c>
      <c r="C80" t="s">
        <v>9</v>
      </c>
      <c r="D80" s="4">
        <v>3.0525253661013201E-2</v>
      </c>
      <c r="E80" s="3">
        <v>308092.27746067202</v>
      </c>
      <c r="F80" s="3">
        <f>E80/7.8</f>
        <v>39499.009930855391</v>
      </c>
      <c r="G80" s="3">
        <f>F80/2</f>
        <v>19749.504965427695</v>
      </c>
      <c r="H80" t="s">
        <v>56</v>
      </c>
      <c r="I80" t="s">
        <v>1552</v>
      </c>
      <c r="J80" t="s">
        <v>1553</v>
      </c>
      <c r="K80">
        <v>17.21</v>
      </c>
      <c r="L80">
        <v>2.4420000000000002</v>
      </c>
      <c r="M80" s="1">
        <v>10</v>
      </c>
      <c r="N80" s="1" t="s">
        <v>443</v>
      </c>
    </row>
    <row r="81" spans="1:14" x14ac:dyDescent="0.25">
      <c r="A81" t="s">
        <v>1932</v>
      </c>
      <c r="B81" t="s">
        <v>1609</v>
      </c>
      <c r="C81" t="s">
        <v>448</v>
      </c>
      <c r="D81" s="4">
        <v>6.9110958314357998E-2</v>
      </c>
      <c r="E81" s="3">
        <v>42798.3674313312</v>
      </c>
      <c r="H81" t="s">
        <v>56</v>
      </c>
      <c r="I81" t="s">
        <v>756</v>
      </c>
      <c r="J81" t="s">
        <v>251</v>
      </c>
      <c r="K81">
        <v>7.13</v>
      </c>
      <c r="L81">
        <v>2.4420000000000002</v>
      </c>
      <c r="M81" s="1">
        <v>10</v>
      </c>
      <c r="N81" s="1" t="s">
        <v>443</v>
      </c>
    </row>
    <row r="82" spans="1:14" x14ac:dyDescent="0.25">
      <c r="A82" t="s">
        <v>1941</v>
      </c>
      <c r="B82" t="s">
        <v>1609</v>
      </c>
      <c r="C82" t="s">
        <v>9</v>
      </c>
      <c r="D82" s="4">
        <v>2.81811167051195E-2</v>
      </c>
      <c r="E82" s="3">
        <v>946785.01068429498</v>
      </c>
      <c r="F82" s="3">
        <f>E82/7.8</f>
        <v>121382.69367747371</v>
      </c>
      <c r="G82" s="3">
        <f>F82/2</f>
        <v>60691.346838736856</v>
      </c>
      <c r="H82" t="s">
        <v>17</v>
      </c>
      <c r="I82" t="s">
        <v>1518</v>
      </c>
      <c r="J82" t="s">
        <v>1519</v>
      </c>
      <c r="K82">
        <v>27.41</v>
      </c>
      <c r="L82">
        <v>2.5</v>
      </c>
      <c r="M82" s="1">
        <v>10</v>
      </c>
      <c r="N82" s="1" t="s">
        <v>443</v>
      </c>
    </row>
    <row r="83" spans="1:14" x14ac:dyDescent="0.25">
      <c r="A83" t="s">
        <v>1941</v>
      </c>
      <c r="B83" t="s">
        <v>1609</v>
      </c>
      <c r="C83" t="s">
        <v>448</v>
      </c>
      <c r="D83" s="4">
        <v>4.1929862780366402E-2</v>
      </c>
      <c r="E83" s="3">
        <v>127365.432502154</v>
      </c>
      <c r="H83" t="s">
        <v>381</v>
      </c>
      <c r="I83" t="s">
        <v>1520</v>
      </c>
      <c r="J83" t="s">
        <v>1521</v>
      </c>
      <c r="K83">
        <v>7.13</v>
      </c>
      <c r="L83">
        <v>2.5</v>
      </c>
      <c r="M83" s="1">
        <v>10</v>
      </c>
      <c r="N83" s="1" t="s">
        <v>443</v>
      </c>
    </row>
    <row r="84" spans="1:14" x14ac:dyDescent="0.25">
      <c r="A84" t="s">
        <v>1947</v>
      </c>
      <c r="B84" t="s">
        <v>1609</v>
      </c>
      <c r="C84" t="s">
        <v>9</v>
      </c>
      <c r="D84" s="4">
        <v>3.1627408414853897E-2</v>
      </c>
      <c r="E84" s="3">
        <v>254068.51028576799</v>
      </c>
      <c r="F84" s="3">
        <f>E84/7.8</f>
        <v>32572.88593407282</v>
      </c>
      <c r="G84" s="3">
        <f>F84/2</f>
        <v>16286.44296703641</v>
      </c>
      <c r="H84" t="s">
        <v>297</v>
      </c>
      <c r="I84" t="s">
        <v>1564</v>
      </c>
      <c r="J84" t="s">
        <v>1565</v>
      </c>
      <c r="K84">
        <v>24.86</v>
      </c>
      <c r="L84">
        <v>2.6349999999999998</v>
      </c>
      <c r="M84" s="1">
        <v>10</v>
      </c>
      <c r="N84" s="1" t="s">
        <v>443</v>
      </c>
    </row>
    <row r="85" spans="1:14" x14ac:dyDescent="0.25">
      <c r="A85" t="s">
        <v>1947</v>
      </c>
      <c r="B85" t="s">
        <v>1609</v>
      </c>
      <c r="C85" t="s">
        <v>448</v>
      </c>
      <c r="D85" s="4">
        <v>8.2989653308242595E-2</v>
      </c>
      <c r="E85" s="3">
        <v>27042.731979197601</v>
      </c>
      <c r="H85" t="s">
        <v>297</v>
      </c>
      <c r="I85" t="s">
        <v>1566</v>
      </c>
      <c r="J85" t="s">
        <v>439</v>
      </c>
      <c r="K85">
        <v>7.13</v>
      </c>
      <c r="L85">
        <v>2.6349999999999998</v>
      </c>
      <c r="M85" s="1">
        <v>10</v>
      </c>
      <c r="N85" s="1" t="s">
        <v>443</v>
      </c>
    </row>
    <row r="86" spans="1:14" x14ac:dyDescent="0.25">
      <c r="A86" t="s">
        <v>1955</v>
      </c>
      <c r="B86" t="s">
        <v>1609</v>
      </c>
      <c r="C86" t="s">
        <v>9</v>
      </c>
      <c r="D86" s="4">
        <v>2.7205120609735602E-2</v>
      </c>
      <c r="E86" s="3">
        <v>4891975.6664894698</v>
      </c>
      <c r="F86" s="3">
        <f>E86/7.8</f>
        <v>627176.36749864998</v>
      </c>
      <c r="G86" s="3">
        <f>F86/2</f>
        <v>313588.18374932499</v>
      </c>
      <c r="H86" t="s">
        <v>162</v>
      </c>
      <c r="I86" t="s">
        <v>1490</v>
      </c>
      <c r="J86" t="s">
        <v>1491</v>
      </c>
      <c r="K86">
        <v>29.96</v>
      </c>
      <c r="L86">
        <v>2.613</v>
      </c>
      <c r="M86" s="1">
        <v>100</v>
      </c>
      <c r="N86" s="1" t="s">
        <v>443</v>
      </c>
    </row>
    <row r="87" spans="1:14" x14ac:dyDescent="0.25">
      <c r="A87" t="s">
        <v>1955</v>
      </c>
      <c r="B87" t="s">
        <v>1609</v>
      </c>
      <c r="C87" t="s">
        <v>448</v>
      </c>
      <c r="D87" s="4">
        <v>5.7627753829661503E-2</v>
      </c>
      <c r="E87" s="3">
        <v>591410.46858557302</v>
      </c>
      <c r="H87" t="s">
        <v>91</v>
      </c>
      <c r="I87" t="s">
        <v>1029</v>
      </c>
      <c r="J87" t="s">
        <v>1492</v>
      </c>
      <c r="K87">
        <v>7.13</v>
      </c>
      <c r="L87">
        <v>2.613</v>
      </c>
      <c r="M87" s="1">
        <v>100</v>
      </c>
      <c r="N87" s="1" t="s">
        <v>443</v>
      </c>
    </row>
    <row r="88" spans="1:14" x14ac:dyDescent="0.25">
      <c r="A88" t="s">
        <v>1975</v>
      </c>
      <c r="B88" t="s">
        <v>1609</v>
      </c>
      <c r="C88" t="s">
        <v>9</v>
      </c>
      <c r="D88" s="4">
        <v>2.7165219816605201E-2</v>
      </c>
      <c r="E88" s="3">
        <v>5198108.5769086303</v>
      </c>
      <c r="F88" s="3">
        <f>E88/7.8</f>
        <v>666424.17652674753</v>
      </c>
      <c r="G88" s="3">
        <f>F88/2</f>
        <v>333212.08826337376</v>
      </c>
      <c r="H88" t="s">
        <v>71</v>
      </c>
      <c r="I88" t="s">
        <v>1526</v>
      </c>
      <c r="J88" t="s">
        <v>1527</v>
      </c>
      <c r="K88">
        <v>23.59</v>
      </c>
      <c r="L88">
        <v>2.5049999999999999</v>
      </c>
      <c r="M88" s="1">
        <v>100</v>
      </c>
      <c r="N88" s="1" t="s">
        <v>443</v>
      </c>
    </row>
    <row r="89" spans="1:14" x14ac:dyDescent="0.25">
      <c r="A89" t="s">
        <v>1975</v>
      </c>
      <c r="B89" t="s">
        <v>1609</v>
      </c>
      <c r="C89" t="s">
        <v>448</v>
      </c>
      <c r="D89" s="4">
        <v>5.4448743969586599E-2</v>
      </c>
      <c r="E89" s="3">
        <v>698904.39491218003</v>
      </c>
      <c r="H89" t="s">
        <v>115</v>
      </c>
      <c r="I89" t="s">
        <v>1528</v>
      </c>
      <c r="J89" t="s">
        <v>1529</v>
      </c>
      <c r="K89">
        <v>7.13</v>
      </c>
      <c r="L89">
        <v>2.5049999999999999</v>
      </c>
      <c r="M89" s="1">
        <v>100</v>
      </c>
      <c r="N89" s="1" t="s">
        <v>443</v>
      </c>
    </row>
    <row r="90" spans="1:14" x14ac:dyDescent="0.25">
      <c r="A90" t="s">
        <v>1979</v>
      </c>
      <c r="B90" t="s">
        <v>1609</v>
      </c>
      <c r="C90" t="s">
        <v>9</v>
      </c>
      <c r="D90" s="4">
        <v>3.0348817443439799E-2</v>
      </c>
      <c r="E90" s="3">
        <v>309001.15620664199</v>
      </c>
      <c r="F90" s="3">
        <f>E90/7.8</f>
        <v>39615.532847005386</v>
      </c>
      <c r="G90" s="3">
        <f>F90/2</f>
        <v>19807.766423502693</v>
      </c>
      <c r="H90" t="s">
        <v>130</v>
      </c>
      <c r="I90" t="s">
        <v>1554</v>
      </c>
      <c r="J90" t="s">
        <v>1555</v>
      </c>
      <c r="K90">
        <v>23.59</v>
      </c>
      <c r="L90">
        <v>2.488</v>
      </c>
      <c r="M90" s="1">
        <v>10</v>
      </c>
      <c r="N90" s="1" t="s">
        <v>443</v>
      </c>
    </row>
    <row r="91" spans="1:14" x14ac:dyDescent="0.25">
      <c r="A91" t="s">
        <v>1979</v>
      </c>
      <c r="B91" t="s">
        <v>1609</v>
      </c>
      <c r="C91" t="s">
        <v>448</v>
      </c>
      <c r="D91" s="4">
        <v>7.3946835437762495E-2</v>
      </c>
      <c r="E91" s="3">
        <v>36477.336023465898</v>
      </c>
      <c r="H91" t="s">
        <v>130</v>
      </c>
      <c r="I91" t="s">
        <v>1556</v>
      </c>
      <c r="J91" t="s">
        <v>1557</v>
      </c>
      <c r="K91">
        <v>7.13</v>
      </c>
      <c r="L91">
        <v>2.488</v>
      </c>
      <c r="M91" s="1">
        <v>10</v>
      </c>
      <c r="N91" s="1" t="s">
        <v>443</v>
      </c>
    </row>
    <row r="92" spans="1:14" x14ac:dyDescent="0.25">
      <c r="A92" t="s">
        <v>1984</v>
      </c>
      <c r="B92" t="s">
        <v>1609</v>
      </c>
      <c r="C92" t="s">
        <v>9</v>
      </c>
      <c r="D92" s="4">
        <v>2.68392145606914E-2</v>
      </c>
      <c r="E92" s="3">
        <v>609523.11329080595</v>
      </c>
      <c r="F92" s="3">
        <f>E92/7.8</f>
        <v>78143.988883436657</v>
      </c>
      <c r="G92" s="3">
        <f>F92/2</f>
        <v>39071.994441718329</v>
      </c>
      <c r="H92" t="s">
        <v>88</v>
      </c>
      <c r="I92" t="s">
        <v>1575</v>
      </c>
      <c r="J92" t="s">
        <v>1576</v>
      </c>
      <c r="K92">
        <v>27.41</v>
      </c>
      <c r="L92">
        <v>2.5379999999999998</v>
      </c>
      <c r="M92" s="1">
        <v>10</v>
      </c>
      <c r="N92" s="1" t="s">
        <v>443</v>
      </c>
    </row>
    <row r="93" spans="1:14" x14ac:dyDescent="0.25">
      <c r="A93" t="s">
        <v>1984</v>
      </c>
      <c r="B93" t="s">
        <v>1609</v>
      </c>
      <c r="C93" t="s">
        <v>448</v>
      </c>
      <c r="D93" s="4">
        <v>5.1255976820014197E-2</v>
      </c>
      <c r="E93" s="3">
        <v>78970.682321303306</v>
      </c>
      <c r="H93" t="s">
        <v>461</v>
      </c>
      <c r="I93" t="s">
        <v>627</v>
      </c>
      <c r="J93" t="s">
        <v>1447</v>
      </c>
      <c r="K93">
        <v>7.13</v>
      </c>
      <c r="L93">
        <v>2.5379999999999998</v>
      </c>
      <c r="M93" s="1">
        <v>10</v>
      </c>
      <c r="N93" s="1" t="s">
        <v>443</v>
      </c>
    </row>
    <row r="94" spans="1:14" x14ac:dyDescent="0.25">
      <c r="A94" t="s">
        <v>2003</v>
      </c>
      <c r="B94" t="s">
        <v>1609</v>
      </c>
      <c r="C94" t="s">
        <v>9</v>
      </c>
      <c r="D94" s="4">
        <v>3.1755101059322499E-2</v>
      </c>
      <c r="E94" s="3">
        <v>263091.309406007</v>
      </c>
      <c r="F94" s="3">
        <f>E94/7.8</f>
        <v>33729.655052052178</v>
      </c>
      <c r="G94" s="3">
        <f>F94/2</f>
        <v>16864.827526026089</v>
      </c>
      <c r="H94" t="s">
        <v>284</v>
      </c>
      <c r="I94" t="s">
        <v>1558</v>
      </c>
      <c r="J94" t="s">
        <v>1559</v>
      </c>
      <c r="K94">
        <v>19.760000000000002</v>
      </c>
      <c r="L94">
        <v>2.5169999999999999</v>
      </c>
      <c r="M94" s="1">
        <v>10</v>
      </c>
      <c r="N94" s="1" t="s">
        <v>443</v>
      </c>
    </row>
    <row r="95" spans="1:14" x14ac:dyDescent="0.25">
      <c r="A95" t="s">
        <v>2003</v>
      </c>
      <c r="B95" t="s">
        <v>1609</v>
      </c>
      <c r="C95" t="s">
        <v>448</v>
      </c>
      <c r="D95" s="4">
        <v>8.1542592707488606E-2</v>
      </c>
      <c r="E95" s="3">
        <v>29440.2913654228</v>
      </c>
      <c r="H95" t="s">
        <v>133</v>
      </c>
      <c r="I95" t="s">
        <v>1560</v>
      </c>
      <c r="J95" t="s">
        <v>704</v>
      </c>
      <c r="K95">
        <v>7.13</v>
      </c>
      <c r="L95">
        <v>2.5169999999999999</v>
      </c>
      <c r="M95" s="1">
        <v>10</v>
      </c>
      <c r="N95" s="1" t="s">
        <v>443</v>
      </c>
    </row>
    <row r="96" spans="1:14" x14ac:dyDescent="0.25">
      <c r="A96" t="s">
        <v>2014</v>
      </c>
      <c r="B96" t="s">
        <v>1609</v>
      </c>
      <c r="C96" t="s">
        <v>9</v>
      </c>
      <c r="D96" s="4">
        <v>3.2487283548714101E-2</v>
      </c>
      <c r="E96" s="3">
        <v>2313138.2964540399</v>
      </c>
      <c r="F96" s="3">
        <f>E96/7.8</f>
        <v>296556.19185308204</v>
      </c>
      <c r="G96" s="3">
        <f>F96/2</f>
        <v>148278.09592654102</v>
      </c>
      <c r="H96" t="s">
        <v>284</v>
      </c>
      <c r="I96" t="s">
        <v>1460</v>
      </c>
      <c r="J96" t="s">
        <v>1461</v>
      </c>
      <c r="K96">
        <v>29.96</v>
      </c>
      <c r="L96">
        <v>2.67</v>
      </c>
      <c r="M96" s="1">
        <v>100</v>
      </c>
      <c r="N96" s="1" t="s">
        <v>443</v>
      </c>
    </row>
    <row r="97" spans="1:14" x14ac:dyDescent="0.25">
      <c r="A97" t="s">
        <v>2014</v>
      </c>
      <c r="B97" t="s">
        <v>1609</v>
      </c>
      <c r="C97" t="s">
        <v>448</v>
      </c>
      <c r="D97" s="4">
        <v>8.0505604430273298E-2</v>
      </c>
      <c r="E97" s="3">
        <v>284580.76123394398</v>
      </c>
      <c r="H97" t="s">
        <v>284</v>
      </c>
      <c r="I97" t="s">
        <v>1462</v>
      </c>
      <c r="J97" t="s">
        <v>1463</v>
      </c>
      <c r="K97">
        <v>7.13</v>
      </c>
      <c r="L97">
        <v>2.67</v>
      </c>
      <c r="M97" s="1">
        <v>100</v>
      </c>
      <c r="N97" s="1" t="s">
        <v>443</v>
      </c>
    </row>
    <row r="98" spans="1:14" x14ac:dyDescent="0.25">
      <c r="A98" t="s">
        <v>2017</v>
      </c>
      <c r="B98" t="s">
        <v>1609</v>
      </c>
      <c r="C98" t="s">
        <v>9</v>
      </c>
      <c r="D98" s="4">
        <v>3.1365765690629099E-2</v>
      </c>
      <c r="E98" s="3">
        <v>259772.40484383999</v>
      </c>
      <c r="F98" s="3">
        <f>E98/7.8</f>
        <v>33304.154467158973</v>
      </c>
      <c r="G98" s="3">
        <f>F98/2</f>
        <v>16652.077233579486</v>
      </c>
      <c r="H98" t="s">
        <v>324</v>
      </c>
      <c r="I98" t="s">
        <v>1469</v>
      </c>
      <c r="J98" t="s">
        <v>1470</v>
      </c>
      <c r="K98">
        <v>18.489999999999998</v>
      </c>
      <c r="L98">
        <v>2.65</v>
      </c>
      <c r="M98" s="1">
        <v>10</v>
      </c>
      <c r="N98" s="1" t="s">
        <v>443</v>
      </c>
    </row>
    <row r="99" spans="1:14" x14ac:dyDescent="0.25">
      <c r="A99" t="s">
        <v>2017</v>
      </c>
      <c r="B99" t="s">
        <v>1609</v>
      </c>
      <c r="C99" t="s">
        <v>448</v>
      </c>
      <c r="D99" s="4">
        <v>8.05055995273848E-2</v>
      </c>
      <c r="E99" s="3">
        <v>28669.255170846802</v>
      </c>
      <c r="H99" t="s">
        <v>324</v>
      </c>
      <c r="I99" t="s">
        <v>1462</v>
      </c>
      <c r="J99" t="s">
        <v>1471</v>
      </c>
      <c r="K99">
        <v>7.13</v>
      </c>
      <c r="L99">
        <v>2.65</v>
      </c>
      <c r="M99" s="1">
        <v>10</v>
      </c>
      <c r="N99" s="1" t="s">
        <v>443</v>
      </c>
    </row>
    <row r="100" spans="1:14" x14ac:dyDescent="0.25">
      <c r="A100" t="s">
        <v>2018</v>
      </c>
      <c r="B100" t="s">
        <v>1609</v>
      </c>
      <c r="C100" t="s">
        <v>9</v>
      </c>
      <c r="D100" s="4">
        <v>2.8837340033053799E-2</v>
      </c>
      <c r="E100" s="3">
        <v>357123.13697655703</v>
      </c>
      <c r="F100" s="3">
        <f>E100/7.8</f>
        <v>45785.017561097055</v>
      </c>
      <c r="G100" s="3">
        <f>F100/2</f>
        <v>22892.508780548527</v>
      </c>
      <c r="H100" t="s">
        <v>150</v>
      </c>
      <c r="I100" t="s">
        <v>1500</v>
      </c>
      <c r="J100" t="s">
        <v>1501</v>
      </c>
      <c r="K100">
        <v>24.86</v>
      </c>
      <c r="L100">
        <v>2.6160000000000001</v>
      </c>
      <c r="M100" s="1">
        <v>10</v>
      </c>
      <c r="N100" s="1" t="s">
        <v>443</v>
      </c>
    </row>
    <row r="101" spans="1:14" x14ac:dyDescent="0.25">
      <c r="A101" t="s">
        <v>2018</v>
      </c>
      <c r="B101" t="s">
        <v>1609</v>
      </c>
      <c r="C101" t="s">
        <v>448</v>
      </c>
      <c r="D101" s="4">
        <v>6.9939846553807195E-2</v>
      </c>
      <c r="E101" s="3">
        <v>39019.550652192498</v>
      </c>
      <c r="H101" t="s">
        <v>150</v>
      </c>
      <c r="I101" t="s">
        <v>1502</v>
      </c>
      <c r="J101" t="s">
        <v>1503</v>
      </c>
      <c r="K101">
        <v>7.13</v>
      </c>
      <c r="L101">
        <v>2.6160000000000001</v>
      </c>
      <c r="M101" s="1">
        <v>10</v>
      </c>
      <c r="N101" s="1" t="s">
        <v>443</v>
      </c>
    </row>
    <row r="102" spans="1:14" x14ac:dyDescent="0.25">
      <c r="A102" t="s">
        <v>2022</v>
      </c>
      <c r="B102" t="s">
        <v>1609</v>
      </c>
      <c r="C102" t="s">
        <v>9</v>
      </c>
      <c r="D102" s="4">
        <v>3.4047625844718703E-2</v>
      </c>
      <c r="E102" s="3">
        <v>206397.201201522</v>
      </c>
      <c r="F102" s="3">
        <f>E102/7.8</f>
        <v>26461.17964122077</v>
      </c>
      <c r="G102" s="3">
        <f>F102/2</f>
        <v>13230.589820610385</v>
      </c>
      <c r="H102" t="s">
        <v>98</v>
      </c>
      <c r="I102" t="s">
        <v>1534</v>
      </c>
      <c r="J102" t="s">
        <v>1535</v>
      </c>
      <c r="K102">
        <v>26.14</v>
      </c>
      <c r="L102">
        <v>2.609</v>
      </c>
      <c r="M102" s="1">
        <v>10</v>
      </c>
      <c r="N102" s="1" t="s">
        <v>443</v>
      </c>
    </row>
    <row r="103" spans="1:14" x14ac:dyDescent="0.25">
      <c r="A103" t="s">
        <v>2022</v>
      </c>
      <c r="B103" t="s">
        <v>1609</v>
      </c>
      <c r="C103" t="s">
        <v>448</v>
      </c>
      <c r="D103" s="4">
        <v>8.9848781671062306E-2</v>
      </c>
      <c r="E103" s="3">
        <v>23182.943942882601</v>
      </c>
      <c r="H103" t="s">
        <v>98</v>
      </c>
      <c r="I103" t="s">
        <v>824</v>
      </c>
      <c r="J103" t="s">
        <v>1536</v>
      </c>
      <c r="K103">
        <v>7.13</v>
      </c>
      <c r="L103">
        <v>2.609</v>
      </c>
      <c r="M103" s="1">
        <v>10</v>
      </c>
      <c r="N103" s="1" t="s">
        <v>443</v>
      </c>
    </row>
    <row r="104" spans="1:14" x14ac:dyDescent="0.25">
      <c r="A104" t="s">
        <v>1777</v>
      </c>
      <c r="B104" t="s">
        <v>1609</v>
      </c>
      <c r="C104" t="s">
        <v>9</v>
      </c>
      <c r="D104" s="4">
        <v>3.5128139715815999E-2</v>
      </c>
      <c r="E104" s="3">
        <v>13737752.554436799</v>
      </c>
      <c r="F104" s="3">
        <f>E104/7.8</f>
        <v>1761250.3274918974</v>
      </c>
      <c r="G104" s="3">
        <f>F104/2</f>
        <v>880625.1637459487</v>
      </c>
      <c r="H104" t="s">
        <v>324</v>
      </c>
      <c r="I104" t="s">
        <v>1597</v>
      </c>
      <c r="J104" t="s">
        <v>879</v>
      </c>
      <c r="K104">
        <v>20.399999999999999</v>
      </c>
      <c r="L104">
        <v>2.6070000000000002</v>
      </c>
      <c r="M104" s="1">
        <v>100</v>
      </c>
      <c r="N104" s="1" t="s">
        <v>1600</v>
      </c>
    </row>
    <row r="105" spans="1:14" x14ac:dyDescent="0.25">
      <c r="A105" t="s">
        <v>1777</v>
      </c>
      <c r="B105" t="s">
        <v>1609</v>
      </c>
      <c r="C105" t="s">
        <v>448</v>
      </c>
      <c r="D105" s="4">
        <v>3.8153694422107101E-2</v>
      </c>
      <c r="E105" s="3">
        <v>1551780.66871984</v>
      </c>
      <c r="H105" t="s">
        <v>1293</v>
      </c>
      <c r="I105" t="s">
        <v>1598</v>
      </c>
      <c r="J105" t="s">
        <v>1599</v>
      </c>
      <c r="K105">
        <v>11.48</v>
      </c>
      <c r="L105">
        <v>2.6070000000000002</v>
      </c>
      <c r="M105" s="1">
        <v>100</v>
      </c>
      <c r="N105" s="1" t="s">
        <v>1600</v>
      </c>
    </row>
    <row r="106" spans="1:14" x14ac:dyDescent="0.25">
      <c r="A106" t="s">
        <v>1813</v>
      </c>
      <c r="B106" t="s">
        <v>1609</v>
      </c>
      <c r="C106" t="s">
        <v>9</v>
      </c>
      <c r="D106" s="4">
        <v>2.6774805299996401E-2</v>
      </c>
      <c r="E106" s="3">
        <v>678380.27125250397</v>
      </c>
      <c r="F106" s="3">
        <f>E106/7.8</f>
        <v>86971.829647756924</v>
      </c>
      <c r="G106" s="3">
        <f>F106/2</f>
        <v>43485.914823878462</v>
      </c>
      <c r="H106" t="s">
        <v>410</v>
      </c>
      <c r="I106" t="s">
        <v>1601</v>
      </c>
      <c r="J106" t="s">
        <v>1602</v>
      </c>
      <c r="K106">
        <v>23.59</v>
      </c>
      <c r="L106">
        <v>2.54</v>
      </c>
      <c r="M106" s="1">
        <v>10</v>
      </c>
      <c r="N106" s="1" t="s">
        <v>1600</v>
      </c>
    </row>
    <row r="107" spans="1:14" x14ac:dyDescent="0.25">
      <c r="A107" t="s">
        <v>1813</v>
      </c>
      <c r="B107" t="s">
        <v>1609</v>
      </c>
      <c r="C107" t="s">
        <v>448</v>
      </c>
      <c r="D107" s="4">
        <v>4.9339860395769999E-2</v>
      </c>
      <c r="E107" s="3">
        <v>85161.495814138994</v>
      </c>
      <c r="H107" t="s">
        <v>1603</v>
      </c>
      <c r="I107" t="s">
        <v>1604</v>
      </c>
      <c r="J107" t="s">
        <v>1605</v>
      </c>
      <c r="K107">
        <v>19.13</v>
      </c>
      <c r="L107">
        <v>2.54</v>
      </c>
      <c r="M107" s="1">
        <v>10</v>
      </c>
      <c r="N107" s="1" t="s">
        <v>1600</v>
      </c>
    </row>
    <row r="108" spans="1:14" x14ac:dyDescent="0.25">
      <c r="A108" t="s">
        <v>447</v>
      </c>
      <c r="B108" s="1" t="s">
        <v>1609</v>
      </c>
      <c r="C108" s="1" t="s">
        <v>9</v>
      </c>
      <c r="D108" s="4">
        <v>0</v>
      </c>
      <c r="E108" s="3">
        <v>0</v>
      </c>
      <c r="F108" s="3">
        <f>E108/7.8</f>
        <v>0</v>
      </c>
      <c r="G108" s="3">
        <f>F108/2</f>
        <v>0</v>
      </c>
      <c r="H108" s="1" t="s">
        <v>150</v>
      </c>
      <c r="I108" s="1" t="s">
        <v>201</v>
      </c>
      <c r="J108" s="1" t="s">
        <v>150</v>
      </c>
      <c r="K108" s="1">
        <v>14.2</v>
      </c>
      <c r="L108" s="1">
        <v>2.7330000000000001</v>
      </c>
      <c r="M108" s="1" t="s">
        <v>20</v>
      </c>
      <c r="N108" s="1" t="s">
        <v>442</v>
      </c>
    </row>
    <row r="109" spans="1:14" x14ac:dyDescent="0.25">
      <c r="A109" t="s">
        <v>447</v>
      </c>
      <c r="B109" s="1" t="s">
        <v>1609</v>
      </c>
      <c r="C109" s="1" t="s">
        <v>448</v>
      </c>
      <c r="D109" s="4">
        <v>0</v>
      </c>
      <c r="E109" s="3">
        <v>0</v>
      </c>
      <c r="H109" s="1" t="s">
        <v>150</v>
      </c>
      <c r="I109" s="1" t="s">
        <v>201</v>
      </c>
      <c r="J109" s="1" t="s">
        <v>150</v>
      </c>
      <c r="K109" s="1">
        <v>7</v>
      </c>
      <c r="L109" s="1">
        <v>2.7330000000000001</v>
      </c>
      <c r="M109" s="1" t="s">
        <v>20</v>
      </c>
      <c r="N109" s="1" t="s">
        <v>442</v>
      </c>
    </row>
    <row r="110" spans="1:14" x14ac:dyDescent="0.25">
      <c r="A110" t="s">
        <v>1608</v>
      </c>
      <c r="B110" s="1" t="s">
        <v>1609</v>
      </c>
      <c r="C110" s="1" t="s">
        <v>9</v>
      </c>
      <c r="D110" s="4">
        <v>3.5116751051632498E-2</v>
      </c>
      <c r="E110" s="3">
        <v>184311137.32334599</v>
      </c>
      <c r="F110" s="3">
        <f>E110/7.8</f>
        <v>23629632.990172565</v>
      </c>
      <c r="G110" s="3">
        <f>F110/2</f>
        <v>11814816.495086282</v>
      </c>
      <c r="H110" s="1" t="s">
        <v>435</v>
      </c>
      <c r="I110" s="1" t="s">
        <v>436</v>
      </c>
      <c r="J110" s="1" t="s">
        <v>437</v>
      </c>
      <c r="K110" s="1">
        <v>14.2</v>
      </c>
      <c r="L110" s="1">
        <v>2.7250000000000001</v>
      </c>
      <c r="M110" s="1">
        <v>10000</v>
      </c>
      <c r="N110" s="1" t="s">
        <v>442</v>
      </c>
    </row>
    <row r="111" spans="1:14" x14ac:dyDescent="0.25">
      <c r="A111" t="s">
        <v>1608</v>
      </c>
      <c r="B111" s="1" t="s">
        <v>1609</v>
      </c>
      <c r="C111" s="1" t="s">
        <v>448</v>
      </c>
      <c r="D111" s="4">
        <v>8.3363688983412204E-2</v>
      </c>
      <c r="E111" s="3">
        <v>25923182.128897902</v>
      </c>
      <c r="H111" s="1" t="s">
        <v>198</v>
      </c>
      <c r="I111" s="1" t="s">
        <v>438</v>
      </c>
      <c r="J111" s="1" t="s">
        <v>439</v>
      </c>
      <c r="K111" s="1">
        <v>7</v>
      </c>
      <c r="L111" s="1">
        <v>2.7250000000000001</v>
      </c>
      <c r="M111" s="1">
        <v>10000</v>
      </c>
      <c r="N111" s="1" t="s">
        <v>442</v>
      </c>
    </row>
    <row r="112" spans="1:14" x14ac:dyDescent="0.25">
      <c r="A112" s="1" t="s">
        <v>10</v>
      </c>
      <c r="B112" s="1" t="s">
        <v>1609</v>
      </c>
      <c r="C112" s="1" t="s">
        <v>9</v>
      </c>
      <c r="D112" s="4" t="s">
        <v>20</v>
      </c>
      <c r="E112" s="3">
        <v>0</v>
      </c>
      <c r="F112" s="3">
        <f>E112/7.8</f>
        <v>0</v>
      </c>
      <c r="G112" s="3">
        <f>F112/2</f>
        <v>0</v>
      </c>
      <c r="H112" s="1" t="s">
        <v>136</v>
      </c>
      <c r="I112" s="1" t="s">
        <v>201</v>
      </c>
      <c r="J112" s="1" t="s">
        <v>136</v>
      </c>
      <c r="K112" s="1">
        <v>14.2</v>
      </c>
      <c r="L112" s="1">
        <v>2.81</v>
      </c>
      <c r="M112" s="1" t="s">
        <v>20</v>
      </c>
      <c r="N112" s="1" t="s">
        <v>442</v>
      </c>
    </row>
    <row r="113" spans="1:14" x14ac:dyDescent="0.25">
      <c r="A113" s="1" t="s">
        <v>10</v>
      </c>
      <c r="B113" s="1" t="s">
        <v>1609</v>
      </c>
      <c r="C113" s="1" t="s">
        <v>448</v>
      </c>
      <c r="D113" s="4">
        <v>1.4750985850916101</v>
      </c>
      <c r="E113" s="3">
        <v>0</v>
      </c>
      <c r="H113" s="1" t="s">
        <v>136</v>
      </c>
      <c r="I113" s="1" t="s">
        <v>440</v>
      </c>
      <c r="J113" s="1" t="s">
        <v>169</v>
      </c>
      <c r="K113" s="1">
        <v>7</v>
      </c>
      <c r="L113" s="1">
        <v>2.81</v>
      </c>
      <c r="M113" s="1" t="s">
        <v>20</v>
      </c>
      <c r="N113" s="1" t="s">
        <v>442</v>
      </c>
    </row>
    <row r="114" spans="1:14" x14ac:dyDescent="0.25">
      <c r="A114" s="1" t="s">
        <v>1611</v>
      </c>
      <c r="B114" s="1" t="s">
        <v>1609</v>
      </c>
      <c r="C114" s="1" t="s">
        <v>9</v>
      </c>
      <c r="D114" s="4" t="s">
        <v>20</v>
      </c>
      <c r="E114" s="3">
        <v>0</v>
      </c>
      <c r="F114" s="3">
        <f>E114/7.8</f>
        <v>0</v>
      </c>
      <c r="G114" s="3">
        <f>F114/2</f>
        <v>0</v>
      </c>
      <c r="H114" s="1" t="s">
        <v>35</v>
      </c>
      <c r="I114" s="1" t="s">
        <v>201</v>
      </c>
      <c r="J114" s="1" t="s">
        <v>35</v>
      </c>
      <c r="K114" s="1">
        <v>14.2</v>
      </c>
      <c r="L114" s="1">
        <v>2.7469999999999999</v>
      </c>
      <c r="M114" s="1" t="s">
        <v>20</v>
      </c>
      <c r="N114" s="1" t="s">
        <v>442</v>
      </c>
    </row>
    <row r="115" spans="1:14" x14ac:dyDescent="0.25">
      <c r="A115" s="1" t="s">
        <v>1611</v>
      </c>
      <c r="B115" s="1" t="s">
        <v>1609</v>
      </c>
      <c r="C115" s="1" t="s">
        <v>448</v>
      </c>
      <c r="D115" s="4" t="s">
        <v>20</v>
      </c>
      <c r="E115" s="3">
        <v>0</v>
      </c>
      <c r="H115" s="1" t="s">
        <v>35</v>
      </c>
      <c r="I115" s="1" t="s">
        <v>201</v>
      </c>
      <c r="J115" s="1" t="s">
        <v>35</v>
      </c>
      <c r="K115" s="1">
        <v>7</v>
      </c>
      <c r="L115" s="1">
        <v>2.7469999999999999</v>
      </c>
      <c r="M115" s="1" t="s">
        <v>20</v>
      </c>
      <c r="N115" s="1" t="s">
        <v>442</v>
      </c>
    </row>
    <row r="116" spans="1:14" x14ac:dyDescent="0.25">
      <c r="A116" s="1" t="s">
        <v>1620</v>
      </c>
      <c r="B116" s="1" t="s">
        <v>1609</v>
      </c>
      <c r="C116" s="1" t="s">
        <v>9</v>
      </c>
      <c r="D116" s="4">
        <v>4.2619750046264698E-2</v>
      </c>
      <c r="E116" s="3">
        <v>1591730.64905505</v>
      </c>
      <c r="F116" s="3">
        <f>E116/7.8</f>
        <v>204068.03193013463</v>
      </c>
      <c r="G116" s="3">
        <f>F116/2</f>
        <v>102034.01596506732</v>
      </c>
      <c r="H116" s="1" t="s">
        <v>71</v>
      </c>
      <c r="I116" s="1" t="s">
        <v>72</v>
      </c>
      <c r="J116" s="1" t="s">
        <v>73</v>
      </c>
      <c r="K116" s="1">
        <v>14.2</v>
      </c>
      <c r="L116" s="1">
        <v>2.726</v>
      </c>
      <c r="M116" s="1">
        <v>10</v>
      </c>
      <c r="N116" s="1" t="s">
        <v>442</v>
      </c>
    </row>
    <row r="117" spans="1:14" x14ac:dyDescent="0.25">
      <c r="A117" s="1" t="s">
        <v>1620</v>
      </c>
      <c r="B117" s="1" t="s">
        <v>1609</v>
      </c>
      <c r="C117" s="1" t="s">
        <v>448</v>
      </c>
      <c r="D117" s="4">
        <v>7.6898627515281995E-2</v>
      </c>
      <c r="E117" s="3">
        <v>30688.4737427736</v>
      </c>
      <c r="H117" s="1" t="s">
        <v>71</v>
      </c>
      <c r="I117" s="1" t="s">
        <v>74</v>
      </c>
      <c r="J117" s="1" t="s">
        <v>75</v>
      </c>
      <c r="K117" s="1">
        <v>7</v>
      </c>
      <c r="L117" s="1">
        <v>2.726</v>
      </c>
      <c r="M117" s="1">
        <v>10</v>
      </c>
      <c r="N117" s="1" t="s">
        <v>442</v>
      </c>
    </row>
    <row r="118" spans="1:14" x14ac:dyDescent="0.25">
      <c r="A118" s="1" t="s">
        <v>1621</v>
      </c>
      <c r="B118" s="1" t="s">
        <v>1609</v>
      </c>
      <c r="C118" s="1" t="s">
        <v>9</v>
      </c>
      <c r="D118" s="4">
        <v>2.8855512252865999E-2</v>
      </c>
      <c r="E118" s="3">
        <v>955825.20013339596</v>
      </c>
      <c r="F118" s="3">
        <f>E118/7.8</f>
        <v>122541.69232479436</v>
      </c>
      <c r="G118" s="3">
        <f>F118/2</f>
        <v>61270.846162397182</v>
      </c>
      <c r="H118" s="1" t="s">
        <v>150</v>
      </c>
      <c r="I118" s="1" t="s">
        <v>151</v>
      </c>
      <c r="J118" s="1" t="s">
        <v>152</v>
      </c>
      <c r="K118" s="1">
        <v>14.2</v>
      </c>
      <c r="L118" s="1">
        <v>2.6619999999999999</v>
      </c>
      <c r="M118" s="1">
        <v>10</v>
      </c>
      <c r="N118" s="1" t="s">
        <v>442</v>
      </c>
    </row>
    <row r="119" spans="1:14" x14ac:dyDescent="0.25">
      <c r="A119" s="1" t="s">
        <v>1621</v>
      </c>
      <c r="B119" s="1" t="s">
        <v>1609</v>
      </c>
      <c r="C119" s="1" t="s">
        <v>448</v>
      </c>
      <c r="D119" s="4">
        <v>4.3896218866425002E-2</v>
      </c>
      <c r="E119" s="3">
        <v>107900.763842819</v>
      </c>
      <c r="H119" s="1" t="s">
        <v>153</v>
      </c>
      <c r="I119" s="1" t="s">
        <v>154</v>
      </c>
      <c r="J119" s="1" t="s">
        <v>155</v>
      </c>
      <c r="K119" s="1">
        <v>7</v>
      </c>
      <c r="L119" s="1">
        <v>2.6619999999999999</v>
      </c>
      <c r="M119" s="1">
        <v>10</v>
      </c>
      <c r="N119" s="1" t="s">
        <v>442</v>
      </c>
    </row>
    <row r="120" spans="1:14" x14ac:dyDescent="0.25">
      <c r="A120" s="1" t="s">
        <v>1622</v>
      </c>
      <c r="B120" s="1" t="s">
        <v>1609</v>
      </c>
      <c r="C120" s="1" t="s">
        <v>9</v>
      </c>
      <c r="D120" s="4">
        <v>2.70814914036142E-2</v>
      </c>
      <c r="E120" s="3">
        <v>502744.72379701701</v>
      </c>
      <c r="F120" s="3">
        <f>E120/7.8</f>
        <v>64454.451768848339</v>
      </c>
      <c r="G120" s="3">
        <f>F120/2</f>
        <v>32227.22588442417</v>
      </c>
      <c r="H120" s="1" t="s">
        <v>88</v>
      </c>
      <c r="I120" s="1" t="s">
        <v>244</v>
      </c>
      <c r="J120" s="1" t="s">
        <v>245</v>
      </c>
      <c r="K120" s="1">
        <v>14.2</v>
      </c>
      <c r="L120" s="1">
        <v>2.6779999999999999</v>
      </c>
      <c r="M120" s="1">
        <v>10</v>
      </c>
      <c r="N120" s="1" t="s">
        <v>442</v>
      </c>
    </row>
    <row r="121" spans="1:14" x14ac:dyDescent="0.25">
      <c r="A121" s="1" t="s">
        <v>1622</v>
      </c>
      <c r="B121" s="1" t="s">
        <v>1609</v>
      </c>
      <c r="C121" s="1" t="s">
        <v>448</v>
      </c>
      <c r="D121" s="4">
        <v>5.4806711109245197E-2</v>
      </c>
      <c r="E121" s="3">
        <v>64477.420167590099</v>
      </c>
      <c r="H121" s="1" t="s">
        <v>11</v>
      </c>
      <c r="I121" s="1" t="s">
        <v>246</v>
      </c>
      <c r="J121" s="1" t="s">
        <v>247</v>
      </c>
      <c r="K121" s="1">
        <v>7</v>
      </c>
      <c r="L121" s="1">
        <v>2.6779999999999999</v>
      </c>
      <c r="M121" s="1">
        <v>10</v>
      </c>
      <c r="N121" s="1" t="s">
        <v>442</v>
      </c>
    </row>
    <row r="122" spans="1:14" x14ac:dyDescent="0.25">
      <c r="A122" s="1" t="s">
        <v>1623</v>
      </c>
      <c r="B122" s="1" t="s">
        <v>1609</v>
      </c>
      <c r="C122" s="1" t="s">
        <v>9</v>
      </c>
      <c r="D122" s="4">
        <v>3.2184845430966197E-2</v>
      </c>
      <c r="E122" s="3">
        <v>1209863.71147855</v>
      </c>
      <c r="F122" s="3">
        <f>E122/7.8</f>
        <v>155110.73224083974</v>
      </c>
      <c r="G122" s="3">
        <f>F122/2</f>
        <v>77555.366120419872</v>
      </c>
      <c r="H122" s="1" t="s">
        <v>308</v>
      </c>
      <c r="I122" s="1" t="s">
        <v>221</v>
      </c>
      <c r="J122" s="1" t="s">
        <v>309</v>
      </c>
      <c r="K122" s="1">
        <v>14.2</v>
      </c>
      <c r="L122" s="1">
        <v>2.6280000000000001</v>
      </c>
      <c r="M122" s="1">
        <v>10</v>
      </c>
      <c r="N122" s="1" t="s">
        <v>442</v>
      </c>
    </row>
    <row r="123" spans="1:14" x14ac:dyDescent="0.25">
      <c r="A123" s="1" t="s">
        <v>1623</v>
      </c>
      <c r="B123" s="1" t="s">
        <v>1609</v>
      </c>
      <c r="C123" s="1" t="s">
        <v>448</v>
      </c>
      <c r="D123" s="4">
        <v>3.7904279829489698E-2</v>
      </c>
      <c r="E123" s="3">
        <v>155435.96054962499</v>
      </c>
      <c r="H123" s="1" t="s">
        <v>273</v>
      </c>
      <c r="I123" s="1" t="s">
        <v>310</v>
      </c>
      <c r="J123" s="1" t="s">
        <v>311</v>
      </c>
      <c r="K123" s="1">
        <v>7</v>
      </c>
      <c r="L123" s="1">
        <v>2.6280000000000001</v>
      </c>
      <c r="M123" s="1">
        <v>10</v>
      </c>
      <c r="N123" s="1" t="s">
        <v>442</v>
      </c>
    </row>
    <row r="124" spans="1:14" x14ac:dyDescent="0.25">
      <c r="A124" s="1" t="s">
        <v>1624</v>
      </c>
      <c r="B124" s="1" t="s">
        <v>1609</v>
      </c>
      <c r="C124" s="1" t="s">
        <v>9</v>
      </c>
      <c r="D124" s="4">
        <v>3.2366113480827602E-2</v>
      </c>
      <c r="E124" s="3">
        <v>11758734.137455801</v>
      </c>
      <c r="F124" s="3">
        <f>E124/7.8</f>
        <v>1507530.0176225386</v>
      </c>
      <c r="G124" s="3">
        <f>F124/2</f>
        <v>753765.0088112693</v>
      </c>
      <c r="H124" s="1" t="s">
        <v>76</v>
      </c>
      <c r="I124" s="1" t="s">
        <v>178</v>
      </c>
      <c r="J124" s="1" t="s">
        <v>391</v>
      </c>
      <c r="K124" s="1">
        <v>14.2</v>
      </c>
      <c r="L124" s="1">
        <v>2.7240000000000002</v>
      </c>
      <c r="M124" s="1">
        <v>100</v>
      </c>
      <c r="N124" s="1" t="s">
        <v>442</v>
      </c>
    </row>
    <row r="125" spans="1:14" x14ac:dyDescent="0.25">
      <c r="A125" s="1" t="s">
        <v>1624</v>
      </c>
      <c r="B125" s="1" t="s">
        <v>1609</v>
      </c>
      <c r="C125" s="1" t="s">
        <v>448</v>
      </c>
      <c r="D125" s="4">
        <v>4.0769756015201802E-2</v>
      </c>
      <c r="E125" s="3">
        <v>1253281.1804166599</v>
      </c>
      <c r="H125" s="1" t="s">
        <v>392</v>
      </c>
      <c r="I125" s="1" t="s">
        <v>393</v>
      </c>
      <c r="J125" s="1" t="s">
        <v>394</v>
      </c>
      <c r="K125" s="1">
        <v>7</v>
      </c>
      <c r="L125" s="1">
        <v>2.7240000000000002</v>
      </c>
      <c r="M125" s="1">
        <v>100</v>
      </c>
      <c r="N125" s="1" t="s">
        <v>442</v>
      </c>
    </row>
    <row r="126" spans="1:14" x14ac:dyDescent="0.25">
      <c r="A126" s="1" t="s">
        <v>1656</v>
      </c>
      <c r="B126" s="1" t="s">
        <v>1609</v>
      </c>
      <c r="C126" s="1" t="s">
        <v>9</v>
      </c>
      <c r="D126" s="4">
        <v>2.6855908978298201E-2</v>
      </c>
      <c r="E126" s="3">
        <v>5695648.90623888</v>
      </c>
      <c r="F126" s="3">
        <f>E126/7.8</f>
        <v>730211.39823575388</v>
      </c>
      <c r="G126" s="3">
        <f>F126/2</f>
        <v>365105.69911787694</v>
      </c>
      <c r="H126" s="1" t="s">
        <v>82</v>
      </c>
      <c r="I126" s="1" t="s">
        <v>312</v>
      </c>
      <c r="J126" s="1" t="s">
        <v>313</v>
      </c>
      <c r="K126" s="1">
        <v>14.2</v>
      </c>
      <c r="L126" s="1">
        <v>2.67</v>
      </c>
      <c r="M126" s="1">
        <v>100</v>
      </c>
      <c r="N126" s="1" t="s">
        <v>442</v>
      </c>
    </row>
    <row r="127" spans="1:14" x14ac:dyDescent="0.25">
      <c r="A127" s="1" t="s">
        <v>1656</v>
      </c>
      <c r="B127" s="1" t="s">
        <v>1609</v>
      </c>
      <c r="C127" s="1" t="s">
        <v>448</v>
      </c>
      <c r="D127" s="4">
        <v>5.3084792375649802E-2</v>
      </c>
      <c r="E127" s="3">
        <v>692420.68323554599</v>
      </c>
      <c r="H127" s="1" t="s">
        <v>82</v>
      </c>
      <c r="I127" s="1" t="s">
        <v>314</v>
      </c>
      <c r="J127" s="1" t="s">
        <v>315</v>
      </c>
      <c r="K127" s="1">
        <v>7</v>
      </c>
      <c r="L127" s="1">
        <v>2.67</v>
      </c>
      <c r="M127" s="1">
        <v>100</v>
      </c>
      <c r="N127" s="1" t="s">
        <v>442</v>
      </c>
    </row>
    <row r="128" spans="1:14" x14ac:dyDescent="0.25">
      <c r="A128" s="1" t="s">
        <v>1657</v>
      </c>
      <c r="B128" s="1" t="s">
        <v>1609</v>
      </c>
      <c r="C128" s="1" t="s">
        <v>9</v>
      </c>
      <c r="D128" s="4">
        <v>2.90068873577147E-2</v>
      </c>
      <c r="E128" s="3">
        <v>3292908.1927482099</v>
      </c>
      <c r="F128" s="3">
        <f>E128/7.8</f>
        <v>422167.71701900125</v>
      </c>
      <c r="G128" s="3">
        <f>F128/2</f>
        <v>211083.85850950063</v>
      </c>
      <c r="H128" s="1" t="s">
        <v>71</v>
      </c>
      <c r="I128" s="1" t="s">
        <v>248</v>
      </c>
      <c r="J128" s="1" t="s">
        <v>249</v>
      </c>
      <c r="K128" s="1">
        <v>14.2</v>
      </c>
      <c r="L128" s="1">
        <v>2.7679999999999998</v>
      </c>
      <c r="M128" s="1">
        <v>100</v>
      </c>
      <c r="N128" s="1" t="s">
        <v>442</v>
      </c>
    </row>
    <row r="129" spans="1:14" x14ac:dyDescent="0.25">
      <c r="A129" s="1" t="s">
        <v>1657</v>
      </c>
      <c r="B129" s="1" t="s">
        <v>1609</v>
      </c>
      <c r="C129" s="1" t="s">
        <v>448</v>
      </c>
      <c r="D129" s="4">
        <v>6.9587241416310897E-2</v>
      </c>
      <c r="E129" s="3">
        <v>372670.60623291502</v>
      </c>
      <c r="H129" s="1" t="s">
        <v>71</v>
      </c>
      <c r="I129" s="1" t="s">
        <v>250</v>
      </c>
      <c r="J129" s="1" t="s">
        <v>251</v>
      </c>
      <c r="K129" s="1">
        <v>7</v>
      </c>
      <c r="L129" s="1">
        <v>2.7679999999999998</v>
      </c>
      <c r="M129" s="1">
        <v>100</v>
      </c>
      <c r="N129" s="1" t="s">
        <v>442</v>
      </c>
    </row>
    <row r="130" spans="1:14" x14ac:dyDescent="0.25">
      <c r="A130" s="1" t="s">
        <v>1658</v>
      </c>
      <c r="B130" s="1" t="s">
        <v>1609</v>
      </c>
      <c r="C130" s="1" t="s">
        <v>9</v>
      </c>
      <c r="D130" s="4">
        <v>2.7594628228343E-2</v>
      </c>
      <c r="E130" s="3">
        <v>7936541.7333160304</v>
      </c>
      <c r="F130" s="3">
        <f>E130/7.8</f>
        <v>1017505.3504251321</v>
      </c>
      <c r="G130" s="3">
        <f>F130/2</f>
        <v>508752.67521256604</v>
      </c>
      <c r="H130" s="1" t="s">
        <v>156</v>
      </c>
      <c r="I130" s="1" t="s">
        <v>157</v>
      </c>
      <c r="J130" s="1" t="s">
        <v>158</v>
      </c>
      <c r="K130" s="1">
        <v>14.2</v>
      </c>
      <c r="L130" s="1">
        <v>2.6619999999999999</v>
      </c>
      <c r="M130" s="1">
        <v>100</v>
      </c>
      <c r="N130" s="1" t="s">
        <v>442</v>
      </c>
    </row>
    <row r="131" spans="1:14" x14ac:dyDescent="0.25">
      <c r="A131" s="1" t="s">
        <v>1658</v>
      </c>
      <c r="B131" s="1" t="s">
        <v>1609</v>
      </c>
      <c r="C131" s="1" t="s">
        <v>448</v>
      </c>
      <c r="D131" s="4">
        <v>4.4549765104320301E-2</v>
      </c>
      <c r="E131" s="3">
        <v>1055891.9780254599</v>
      </c>
      <c r="H131" s="1" t="s">
        <v>159</v>
      </c>
      <c r="I131" s="1" t="s">
        <v>160</v>
      </c>
      <c r="J131" s="1" t="s">
        <v>161</v>
      </c>
      <c r="K131" s="1">
        <v>7</v>
      </c>
      <c r="L131" s="1">
        <v>2.6619999999999999</v>
      </c>
      <c r="M131" s="1">
        <v>100</v>
      </c>
      <c r="N131" s="1" t="s">
        <v>442</v>
      </c>
    </row>
    <row r="132" spans="1:14" x14ac:dyDescent="0.25">
      <c r="A132" s="1" t="s">
        <v>1659</v>
      </c>
      <c r="B132" s="1" t="s">
        <v>1609</v>
      </c>
      <c r="C132" s="1" t="s">
        <v>9</v>
      </c>
      <c r="D132" s="4">
        <v>2.6841429318271399E-2</v>
      </c>
      <c r="E132" s="3">
        <v>637108.749550062</v>
      </c>
      <c r="F132" s="3">
        <f>E132/7.8</f>
        <v>81680.608916674624</v>
      </c>
      <c r="G132" s="3">
        <f>F132/2</f>
        <v>40840.304458337312</v>
      </c>
      <c r="H132" s="1" t="s">
        <v>76</v>
      </c>
      <c r="I132" s="1" t="s">
        <v>77</v>
      </c>
      <c r="J132" s="1" t="s">
        <v>78</v>
      </c>
      <c r="K132" s="1">
        <v>14.2</v>
      </c>
      <c r="L132" s="1">
        <v>2.726</v>
      </c>
      <c r="M132" s="1">
        <v>10</v>
      </c>
      <c r="N132" s="1" t="s">
        <v>442</v>
      </c>
    </row>
    <row r="133" spans="1:14" x14ac:dyDescent="0.25">
      <c r="A133" s="1" t="s">
        <v>1659</v>
      </c>
      <c r="B133" s="1" t="s">
        <v>1609</v>
      </c>
      <c r="C133" s="1" t="s">
        <v>448</v>
      </c>
      <c r="D133" s="4">
        <v>5.0019213876038103E-2</v>
      </c>
      <c r="E133" s="3">
        <v>77519.222940653897</v>
      </c>
      <c r="H133" s="1" t="s">
        <v>79</v>
      </c>
      <c r="I133" s="1" t="s">
        <v>80</v>
      </c>
      <c r="J133" s="1" t="s">
        <v>81</v>
      </c>
      <c r="K133" s="1">
        <v>7</v>
      </c>
      <c r="L133" s="1">
        <v>2.726</v>
      </c>
      <c r="M133" s="1">
        <v>10</v>
      </c>
      <c r="N133" s="1" t="s">
        <v>442</v>
      </c>
    </row>
    <row r="134" spans="1:14" x14ac:dyDescent="0.25">
      <c r="A134" s="1" t="s">
        <v>1682</v>
      </c>
      <c r="B134" s="1" t="s">
        <v>1609</v>
      </c>
      <c r="C134" s="1" t="s">
        <v>9</v>
      </c>
      <c r="D134" s="4">
        <v>3.0951687128630799E-2</v>
      </c>
      <c r="E134" s="3">
        <v>104545.931092281</v>
      </c>
      <c r="F134" s="3">
        <f>E134/7.8</f>
        <v>13403.324499010385</v>
      </c>
      <c r="G134" s="3">
        <f>F134/2</f>
        <v>6701.6622495051924</v>
      </c>
      <c r="H134" s="1" t="s">
        <v>17</v>
      </c>
      <c r="I134" s="1" t="s">
        <v>18</v>
      </c>
      <c r="J134" s="1" t="s">
        <v>19</v>
      </c>
      <c r="K134" s="1">
        <v>14.2</v>
      </c>
      <c r="L134" s="1">
        <v>2.843</v>
      </c>
      <c r="M134" s="1" t="s">
        <v>20</v>
      </c>
      <c r="N134" s="1" t="s">
        <v>442</v>
      </c>
    </row>
    <row r="135" spans="1:14" x14ac:dyDescent="0.25">
      <c r="A135" s="1" t="s">
        <v>1682</v>
      </c>
      <c r="B135" s="1" t="s">
        <v>1609</v>
      </c>
      <c r="C135" s="1" t="s">
        <v>448</v>
      </c>
      <c r="D135" s="4">
        <v>3.7943783456355802E-2</v>
      </c>
      <c r="E135" s="3">
        <v>14493.7526251129</v>
      </c>
      <c r="H135" s="1" t="s">
        <v>21</v>
      </c>
      <c r="I135" s="1" t="s">
        <v>22</v>
      </c>
      <c r="J135" s="1" t="s">
        <v>23</v>
      </c>
      <c r="K135" s="1">
        <v>7</v>
      </c>
      <c r="L135" s="1">
        <v>2.843</v>
      </c>
      <c r="M135" s="1" t="s">
        <v>20</v>
      </c>
      <c r="N135" s="1" t="s">
        <v>442</v>
      </c>
    </row>
    <row r="136" spans="1:14" x14ac:dyDescent="0.25">
      <c r="A136" s="1" t="s">
        <v>1683</v>
      </c>
      <c r="B136" s="1" t="s">
        <v>1609</v>
      </c>
      <c r="C136" s="1" t="s">
        <v>9</v>
      </c>
      <c r="D136" s="4">
        <v>2.8302115348388099E-2</v>
      </c>
      <c r="E136" s="3">
        <v>36681.603681471301</v>
      </c>
      <c r="F136" s="3">
        <f>E136/7.8</f>
        <v>4702.7697027527311</v>
      </c>
      <c r="G136" s="3">
        <f>F136/2</f>
        <v>2351.3848513763655</v>
      </c>
      <c r="H136" s="1" t="s">
        <v>88</v>
      </c>
      <c r="I136" s="1" t="s">
        <v>89</v>
      </c>
      <c r="J136" s="1" t="s">
        <v>90</v>
      </c>
      <c r="K136" s="1">
        <v>14.2</v>
      </c>
      <c r="L136" s="1">
        <v>2.7749999999999999</v>
      </c>
      <c r="M136" s="1" t="s">
        <v>20</v>
      </c>
      <c r="N136" s="1" t="s">
        <v>442</v>
      </c>
    </row>
    <row r="137" spans="1:14" x14ac:dyDescent="0.25">
      <c r="A137" s="1" t="s">
        <v>1683</v>
      </c>
      <c r="B137" s="1" t="s">
        <v>1609</v>
      </c>
      <c r="C137" s="1" t="s">
        <v>448</v>
      </c>
      <c r="D137" s="4">
        <v>6.0305329365680498E-2</v>
      </c>
      <c r="E137" s="3">
        <v>5048.60783398075</v>
      </c>
      <c r="H137" s="1" t="s">
        <v>91</v>
      </c>
      <c r="I137" s="1" t="s">
        <v>92</v>
      </c>
      <c r="J137" s="1" t="s">
        <v>93</v>
      </c>
      <c r="K137" s="1">
        <v>7</v>
      </c>
      <c r="L137" s="1">
        <v>2.7749999999999999</v>
      </c>
      <c r="M137" s="1" t="s">
        <v>20</v>
      </c>
      <c r="N137" s="1" t="s">
        <v>442</v>
      </c>
    </row>
    <row r="138" spans="1:14" x14ac:dyDescent="0.25">
      <c r="A138" s="1" t="s">
        <v>1684</v>
      </c>
      <c r="B138" s="1" t="s">
        <v>1609</v>
      </c>
      <c r="C138" s="1" t="s">
        <v>9</v>
      </c>
      <c r="D138" s="4">
        <v>4.9326139732383298E-2</v>
      </c>
      <c r="E138" s="3">
        <v>8327.3679661508195</v>
      </c>
      <c r="F138" s="3">
        <f>E138/7.8</f>
        <v>1067.6112777116437</v>
      </c>
      <c r="G138" s="3">
        <f>F138/2</f>
        <v>533.80563885582183</v>
      </c>
      <c r="H138" s="1" t="s">
        <v>127</v>
      </c>
      <c r="I138" s="1" t="s">
        <v>167</v>
      </c>
      <c r="J138" s="1" t="s">
        <v>168</v>
      </c>
      <c r="K138" s="1">
        <v>14.2</v>
      </c>
      <c r="L138" s="1">
        <v>2.6230000000000002</v>
      </c>
      <c r="M138" s="1" t="s">
        <v>20</v>
      </c>
      <c r="N138" s="1" t="s">
        <v>442</v>
      </c>
    </row>
    <row r="139" spans="1:14" x14ac:dyDescent="0.25">
      <c r="A139" s="1" t="s">
        <v>1684</v>
      </c>
      <c r="B139" s="1" t="s">
        <v>1609</v>
      </c>
      <c r="C139" s="1" t="s">
        <v>448</v>
      </c>
      <c r="D139" s="4">
        <v>0.141821772247401</v>
      </c>
      <c r="E139" s="3">
        <v>910.93900514795303</v>
      </c>
      <c r="H139" s="1" t="s">
        <v>169</v>
      </c>
      <c r="I139" s="1" t="s">
        <v>170</v>
      </c>
      <c r="J139" s="1" t="s">
        <v>171</v>
      </c>
      <c r="K139" s="1">
        <v>7</v>
      </c>
      <c r="L139" s="1">
        <v>2.6230000000000002</v>
      </c>
      <c r="M139" s="1" t="s">
        <v>20</v>
      </c>
      <c r="N139" s="1" t="s">
        <v>442</v>
      </c>
    </row>
    <row r="140" spans="1:14" x14ac:dyDescent="0.25">
      <c r="A140" s="1" t="s">
        <v>1686</v>
      </c>
      <c r="B140" s="1" t="s">
        <v>1609</v>
      </c>
      <c r="C140" s="1" t="s">
        <v>9</v>
      </c>
      <c r="D140" s="4">
        <v>3.6084886078775399E-2</v>
      </c>
      <c r="E140" s="3">
        <v>16579.103304425698</v>
      </c>
      <c r="F140" s="3">
        <f>E140/7.8</f>
        <v>2125.5260646699612</v>
      </c>
      <c r="G140" s="3">
        <f>F140/2</f>
        <v>1062.7630323349806</v>
      </c>
      <c r="H140" s="1" t="s">
        <v>50</v>
      </c>
      <c r="I140" s="1" t="s">
        <v>322</v>
      </c>
      <c r="J140" s="1" t="s">
        <v>323</v>
      </c>
      <c r="K140" s="1">
        <v>14.2</v>
      </c>
      <c r="L140" s="1">
        <v>2.8039999999999998</v>
      </c>
      <c r="M140" s="1" t="s">
        <v>20</v>
      </c>
      <c r="N140" s="1" t="s">
        <v>442</v>
      </c>
    </row>
    <row r="141" spans="1:14" x14ac:dyDescent="0.25">
      <c r="A141" s="1" t="s">
        <v>1686</v>
      </c>
      <c r="B141" s="1" t="s">
        <v>1609</v>
      </c>
      <c r="C141" s="1" t="s">
        <v>448</v>
      </c>
      <c r="D141" s="4">
        <v>8.8287096758026096E-2</v>
      </c>
      <c r="E141" s="3">
        <v>2238.1974357242998</v>
      </c>
      <c r="H141" s="1" t="s">
        <v>324</v>
      </c>
      <c r="I141" s="1" t="s">
        <v>272</v>
      </c>
      <c r="J141" s="1" t="s">
        <v>325</v>
      </c>
      <c r="K141" s="1">
        <v>7</v>
      </c>
      <c r="L141" s="1">
        <v>2.8039999999999998</v>
      </c>
      <c r="M141" s="1" t="s">
        <v>20</v>
      </c>
      <c r="N141" s="1" t="s">
        <v>442</v>
      </c>
    </row>
    <row r="142" spans="1:14" x14ac:dyDescent="0.25">
      <c r="A142" s="1" t="s">
        <v>1687</v>
      </c>
      <c r="B142" s="1" t="s">
        <v>1609</v>
      </c>
      <c r="C142" s="1" t="s">
        <v>9</v>
      </c>
      <c r="D142" s="4">
        <v>2.7550069460706601E-2</v>
      </c>
      <c r="E142" s="3">
        <v>810904.19709992001</v>
      </c>
      <c r="F142" s="3">
        <f>E142/7.8</f>
        <v>103962.07655127179</v>
      </c>
      <c r="G142" s="3">
        <f>F142/2</f>
        <v>51981.038275635896</v>
      </c>
      <c r="H142" s="1" t="s">
        <v>240</v>
      </c>
      <c r="I142" s="1" t="s">
        <v>397</v>
      </c>
      <c r="J142" s="1" t="s">
        <v>398</v>
      </c>
      <c r="K142" s="1">
        <v>14.2</v>
      </c>
      <c r="L142" s="1">
        <v>2.6779999999999999</v>
      </c>
      <c r="M142" s="1">
        <v>10</v>
      </c>
      <c r="N142" s="1" t="s">
        <v>442</v>
      </c>
    </row>
    <row r="143" spans="1:14" x14ac:dyDescent="0.25">
      <c r="A143" s="1" t="s">
        <v>1687</v>
      </c>
      <c r="B143" s="1" t="s">
        <v>1609</v>
      </c>
      <c r="C143" s="1" t="s">
        <v>448</v>
      </c>
      <c r="D143" s="4">
        <v>4.3026782137314097E-2</v>
      </c>
      <c r="E143" s="3">
        <v>111321.835959599</v>
      </c>
      <c r="H143" s="1" t="s">
        <v>82</v>
      </c>
      <c r="I143" s="1" t="s">
        <v>399</v>
      </c>
      <c r="J143" s="1" t="s">
        <v>400</v>
      </c>
      <c r="K143" s="1">
        <v>7</v>
      </c>
      <c r="L143" s="1">
        <v>2.6779999999999999</v>
      </c>
      <c r="M143" s="1">
        <v>10</v>
      </c>
      <c r="N143" s="1" t="s">
        <v>442</v>
      </c>
    </row>
    <row r="144" spans="1:14" x14ac:dyDescent="0.25">
      <c r="A144" s="1" t="s">
        <v>1702</v>
      </c>
      <c r="B144" s="1" t="s">
        <v>1609</v>
      </c>
      <c r="C144" s="1" t="s">
        <v>9</v>
      </c>
      <c r="D144" s="4">
        <v>2.8325124572863399E-2</v>
      </c>
      <c r="E144" s="3">
        <v>376855.91636527801</v>
      </c>
      <c r="F144" s="3">
        <f>E144/7.8</f>
        <v>48314.86107247154</v>
      </c>
      <c r="G144" s="3">
        <f>F144/2</f>
        <v>24157.43053623577</v>
      </c>
      <c r="H144" s="1" t="s">
        <v>121</v>
      </c>
      <c r="I144" s="1" t="s">
        <v>401</v>
      </c>
      <c r="J144" s="1" t="s">
        <v>402</v>
      </c>
      <c r="K144" s="1">
        <v>14.2</v>
      </c>
      <c r="L144" s="1">
        <v>2.661</v>
      </c>
      <c r="M144" s="1">
        <v>10</v>
      </c>
      <c r="N144" s="1" t="s">
        <v>442</v>
      </c>
    </row>
    <row r="145" spans="1:14" x14ac:dyDescent="0.25">
      <c r="A145" s="1" t="s">
        <v>1702</v>
      </c>
      <c r="B145" s="1" t="s">
        <v>1609</v>
      </c>
      <c r="C145" s="1" t="s">
        <v>448</v>
      </c>
      <c r="D145" s="4">
        <v>6.6598935949291296E-2</v>
      </c>
      <c r="E145" s="3">
        <v>42404.1178878422</v>
      </c>
      <c r="H145" s="1" t="s">
        <v>38</v>
      </c>
      <c r="I145" s="1" t="s">
        <v>403</v>
      </c>
      <c r="J145" s="1" t="s">
        <v>404</v>
      </c>
      <c r="K145" s="1">
        <v>7</v>
      </c>
      <c r="L145" s="1">
        <v>2.661</v>
      </c>
      <c r="M145" s="1">
        <v>10</v>
      </c>
      <c r="N145" s="1" t="s">
        <v>442</v>
      </c>
    </row>
    <row r="146" spans="1:14" x14ac:dyDescent="0.25">
      <c r="A146" s="1" t="s">
        <v>1703</v>
      </c>
      <c r="B146" s="1" t="s">
        <v>1609</v>
      </c>
      <c r="C146" s="1" t="s">
        <v>9</v>
      </c>
      <c r="D146" s="4">
        <v>6.3397718437487094E-2</v>
      </c>
      <c r="E146" s="3">
        <v>4611.1952583084203</v>
      </c>
      <c r="F146" s="3">
        <f>E146/7.8</f>
        <v>591.17887927031029</v>
      </c>
      <c r="G146" s="3">
        <f>F146/2</f>
        <v>295.58943963515514</v>
      </c>
      <c r="H146" s="1" t="s">
        <v>67</v>
      </c>
      <c r="I146" s="1" t="s">
        <v>326</v>
      </c>
      <c r="J146" s="1" t="s">
        <v>327</v>
      </c>
      <c r="K146" s="1">
        <v>14.2</v>
      </c>
      <c r="L146" s="1">
        <v>2.7189999999999999</v>
      </c>
      <c r="M146" s="1" t="s">
        <v>20</v>
      </c>
      <c r="N146" s="1" t="s">
        <v>442</v>
      </c>
    </row>
    <row r="147" spans="1:14" x14ac:dyDescent="0.25">
      <c r="A147" s="1" t="s">
        <v>1703</v>
      </c>
      <c r="B147" s="1" t="s">
        <v>1609</v>
      </c>
      <c r="C147" s="1" t="s">
        <v>448</v>
      </c>
      <c r="D147" s="4">
        <v>0.21913182559313599</v>
      </c>
      <c r="E147" s="3">
        <v>364.51020758143102</v>
      </c>
      <c r="H147" s="1" t="s">
        <v>67</v>
      </c>
      <c r="I147" s="1" t="s">
        <v>328</v>
      </c>
      <c r="J147" s="1" t="s">
        <v>42</v>
      </c>
      <c r="K147" s="1">
        <v>7</v>
      </c>
      <c r="L147" s="1">
        <v>2.7189999999999999</v>
      </c>
      <c r="M147" s="1" t="s">
        <v>20</v>
      </c>
      <c r="N147" s="1" t="s">
        <v>442</v>
      </c>
    </row>
    <row r="148" spans="1:14" x14ac:dyDescent="0.25">
      <c r="A148" s="1" t="s">
        <v>1704</v>
      </c>
      <c r="B148" s="1" t="s">
        <v>1609</v>
      </c>
      <c r="C148" s="1" t="s">
        <v>9</v>
      </c>
      <c r="D148" s="4">
        <v>2.7613813524280498E-2</v>
      </c>
      <c r="E148" s="3">
        <v>84269.869451750405</v>
      </c>
      <c r="F148" s="3">
        <f>E148/7.8</f>
        <v>10803.829416891078</v>
      </c>
      <c r="G148" s="3">
        <f>F148/2</f>
        <v>5401.914708445539</v>
      </c>
      <c r="H148" s="1" t="s">
        <v>121</v>
      </c>
      <c r="I148" s="1" t="s">
        <v>257</v>
      </c>
      <c r="J148" s="1" t="s">
        <v>258</v>
      </c>
      <c r="K148" s="1">
        <v>14.2</v>
      </c>
      <c r="L148" s="1">
        <v>2.6120000000000001</v>
      </c>
      <c r="M148" s="1" t="s">
        <v>20</v>
      </c>
      <c r="N148" s="1" t="s">
        <v>442</v>
      </c>
    </row>
    <row r="149" spans="1:14" x14ac:dyDescent="0.25">
      <c r="A149" s="1" t="s">
        <v>1704</v>
      </c>
      <c r="B149" s="1" t="s">
        <v>1609</v>
      </c>
      <c r="C149" s="1" t="s">
        <v>448</v>
      </c>
      <c r="D149" s="4">
        <v>4.47379668281052E-2</v>
      </c>
      <c r="E149" s="3">
        <v>10476.0979232423</v>
      </c>
      <c r="H149" s="1" t="s">
        <v>259</v>
      </c>
      <c r="I149" s="1" t="s">
        <v>260</v>
      </c>
      <c r="J149" s="1" t="s">
        <v>261</v>
      </c>
      <c r="K149" s="1">
        <v>7</v>
      </c>
      <c r="L149" s="1">
        <v>2.6120000000000001</v>
      </c>
      <c r="M149" s="1" t="s">
        <v>20</v>
      </c>
      <c r="N149" s="1" t="s">
        <v>442</v>
      </c>
    </row>
    <row r="150" spans="1:14" x14ac:dyDescent="0.25">
      <c r="A150" s="1" t="s">
        <v>1705</v>
      </c>
      <c r="B150" s="1" t="s">
        <v>1609</v>
      </c>
      <c r="C150" s="1" t="s">
        <v>9</v>
      </c>
      <c r="D150" s="4">
        <v>8.1192415612571095E-2</v>
      </c>
      <c r="E150" s="3">
        <v>2742.5578248940001</v>
      </c>
      <c r="F150" s="3">
        <f>E150/7.8</f>
        <v>351.60997755051284</v>
      </c>
      <c r="G150" s="3">
        <f>F150/2</f>
        <v>175.80498877525642</v>
      </c>
      <c r="H150" s="1" t="s">
        <v>162</v>
      </c>
      <c r="I150" s="1" t="s">
        <v>172</v>
      </c>
      <c r="J150" s="1" t="s">
        <v>173</v>
      </c>
      <c r="K150" s="1">
        <v>14.2</v>
      </c>
      <c r="L150" s="1">
        <v>2.72</v>
      </c>
      <c r="M150" s="1" t="s">
        <v>20</v>
      </c>
      <c r="N150" s="1" t="s">
        <v>442</v>
      </c>
    </row>
    <row r="151" spans="1:14" x14ac:dyDescent="0.25">
      <c r="A151" s="1" t="s">
        <v>1705</v>
      </c>
      <c r="B151" s="1" t="s">
        <v>1609</v>
      </c>
      <c r="C151" s="1" t="s">
        <v>448</v>
      </c>
      <c r="D151" s="4">
        <v>0.26922248979735602</v>
      </c>
      <c r="E151" s="3">
        <v>241.207961658177</v>
      </c>
      <c r="H151" s="1" t="s">
        <v>162</v>
      </c>
      <c r="I151" s="1" t="s">
        <v>174</v>
      </c>
      <c r="J151" s="1" t="s">
        <v>175</v>
      </c>
      <c r="K151" s="1">
        <v>7</v>
      </c>
      <c r="L151" s="1">
        <v>2.72</v>
      </c>
      <c r="M151" s="1" t="s">
        <v>20</v>
      </c>
      <c r="N151" s="1" t="s">
        <v>442</v>
      </c>
    </row>
    <row r="152" spans="1:14" x14ac:dyDescent="0.25">
      <c r="A152" s="1" t="s">
        <v>1706</v>
      </c>
      <c r="B152" s="1" t="s">
        <v>1609</v>
      </c>
      <c r="C152" s="1" t="s">
        <v>9</v>
      </c>
      <c r="D152" s="4">
        <v>3.1022472400041402E-2</v>
      </c>
      <c r="E152" s="3">
        <v>25239.455421815699</v>
      </c>
      <c r="F152" s="3">
        <f>E152/7.8</f>
        <v>3235.8276181814999</v>
      </c>
      <c r="G152" s="3">
        <f>F152/2</f>
        <v>1617.91380909075</v>
      </c>
      <c r="H152" s="1" t="s">
        <v>53</v>
      </c>
      <c r="I152" s="1" t="s">
        <v>94</v>
      </c>
      <c r="J152" s="1" t="s">
        <v>95</v>
      </c>
      <c r="K152" s="1">
        <v>14.2</v>
      </c>
      <c r="L152" s="1">
        <v>2.8359999999999999</v>
      </c>
      <c r="M152" s="1" t="s">
        <v>20</v>
      </c>
      <c r="N152" s="1" t="s">
        <v>442</v>
      </c>
    </row>
    <row r="153" spans="1:14" x14ac:dyDescent="0.25">
      <c r="A153" s="1" t="s">
        <v>1706</v>
      </c>
      <c r="B153" s="1" t="s">
        <v>1609</v>
      </c>
      <c r="C153" s="1" t="s">
        <v>448</v>
      </c>
      <c r="D153" s="4">
        <v>9.5084089198256894E-2</v>
      </c>
      <c r="E153" s="3">
        <v>1903.5205234411401</v>
      </c>
      <c r="H153" s="1" t="s">
        <v>53</v>
      </c>
      <c r="I153" s="1" t="s">
        <v>96</v>
      </c>
      <c r="J153" s="1" t="s">
        <v>97</v>
      </c>
      <c r="K153" s="1">
        <v>7</v>
      </c>
      <c r="L153" s="1">
        <v>2.8359999999999999</v>
      </c>
      <c r="M153" s="1" t="s">
        <v>20</v>
      </c>
      <c r="N153" s="1" t="s">
        <v>442</v>
      </c>
    </row>
    <row r="154" spans="1:14" x14ac:dyDescent="0.25">
      <c r="A154" s="1" t="s">
        <v>1707</v>
      </c>
      <c r="B154" s="1" t="s">
        <v>1609</v>
      </c>
      <c r="C154" s="1" t="s">
        <v>9</v>
      </c>
      <c r="D154" s="4">
        <v>4.0514339101852898E-2</v>
      </c>
      <c r="E154" s="3">
        <v>12345.0778492519</v>
      </c>
      <c r="F154" s="3">
        <f>E154/7.8</f>
        <v>1582.7022883656282</v>
      </c>
      <c r="G154" s="3">
        <f>F154/2</f>
        <v>791.3511441828141</v>
      </c>
      <c r="H154" s="1" t="s">
        <v>24</v>
      </c>
      <c r="I154" s="1" t="s">
        <v>25</v>
      </c>
      <c r="J154" s="1" t="s">
        <v>26</v>
      </c>
      <c r="K154" s="1">
        <v>14.2</v>
      </c>
      <c r="L154" s="1">
        <v>2.7959999999999998</v>
      </c>
      <c r="M154" s="1" t="s">
        <v>20</v>
      </c>
      <c r="N154" s="1" t="s">
        <v>442</v>
      </c>
    </row>
    <row r="155" spans="1:14" x14ac:dyDescent="0.25">
      <c r="A155" s="1" t="s">
        <v>1707</v>
      </c>
      <c r="B155" s="1" t="s">
        <v>1609</v>
      </c>
      <c r="C155" s="1" t="s">
        <v>448</v>
      </c>
      <c r="D155" s="4">
        <v>0.12396445681480001</v>
      </c>
      <c r="E155" s="3">
        <v>1119.6194591973101</v>
      </c>
      <c r="H155" s="1" t="s">
        <v>27</v>
      </c>
      <c r="I155" s="1" t="s">
        <v>28</v>
      </c>
      <c r="J155" s="1" t="s">
        <v>29</v>
      </c>
      <c r="K155" s="1">
        <v>7</v>
      </c>
      <c r="L155" s="1">
        <v>2.7959999999999998</v>
      </c>
      <c r="M155" s="1" t="s">
        <v>20</v>
      </c>
      <c r="N155" s="1" t="s">
        <v>442</v>
      </c>
    </row>
    <row r="156" spans="1:14" x14ac:dyDescent="0.25">
      <c r="A156" s="1" t="s">
        <v>1739</v>
      </c>
      <c r="B156" s="1" t="s">
        <v>1609</v>
      </c>
      <c r="C156" s="1" t="s">
        <v>9</v>
      </c>
      <c r="D156" s="4">
        <v>3.3641655986893101E-2</v>
      </c>
      <c r="E156" s="3">
        <v>1191376.01842326</v>
      </c>
      <c r="F156" s="3">
        <f>E156/7.8</f>
        <v>152740.51518246921</v>
      </c>
      <c r="G156" s="3">
        <f>F156/2</f>
        <v>76370.257591234607</v>
      </c>
      <c r="H156" s="1" t="s">
        <v>11</v>
      </c>
      <c r="I156" s="1" t="s">
        <v>12</v>
      </c>
      <c r="J156" s="1" t="s">
        <v>13</v>
      </c>
      <c r="K156" s="1">
        <v>14.2</v>
      </c>
      <c r="L156" s="1">
        <v>2.8370000000000002</v>
      </c>
      <c r="M156" s="1">
        <v>10</v>
      </c>
      <c r="N156" s="1" t="s">
        <v>442</v>
      </c>
    </row>
    <row r="157" spans="1:14" x14ac:dyDescent="0.25">
      <c r="A157" s="1" t="s">
        <v>1739</v>
      </c>
      <c r="B157" s="1" t="s">
        <v>1609</v>
      </c>
      <c r="C157" s="1" t="s">
        <v>448</v>
      </c>
      <c r="D157" s="4">
        <v>3.7777004224357098E-2</v>
      </c>
      <c r="E157" s="3">
        <v>147303.389423716</v>
      </c>
      <c r="H157" s="1" t="s">
        <v>14</v>
      </c>
      <c r="I157" s="1" t="s">
        <v>15</v>
      </c>
      <c r="J157" s="1" t="s">
        <v>16</v>
      </c>
      <c r="K157" s="1">
        <v>7</v>
      </c>
      <c r="L157" s="1">
        <v>2.8370000000000002</v>
      </c>
      <c r="M157" s="1">
        <v>10</v>
      </c>
      <c r="N157" s="1" t="s">
        <v>442</v>
      </c>
    </row>
    <row r="158" spans="1:14" x14ac:dyDescent="0.25">
      <c r="A158" s="1" t="s">
        <v>1741</v>
      </c>
      <c r="B158" s="1" t="s">
        <v>1609</v>
      </c>
      <c r="C158" s="1" t="s">
        <v>9</v>
      </c>
      <c r="D158" s="4">
        <v>3.4230200977743701E-2</v>
      </c>
      <c r="E158" s="3">
        <v>1256017.93667321</v>
      </c>
      <c r="F158" s="3">
        <f>E158/7.8</f>
        <v>161027.94059912948</v>
      </c>
      <c r="G158" s="3">
        <f>F158/2</f>
        <v>80513.970299564739</v>
      </c>
      <c r="H158" s="1" t="s">
        <v>82</v>
      </c>
      <c r="I158" s="1" t="s">
        <v>83</v>
      </c>
      <c r="J158" s="1" t="s">
        <v>84</v>
      </c>
      <c r="K158" s="1">
        <v>14.2</v>
      </c>
      <c r="L158" s="1">
        <v>2.7570000000000001</v>
      </c>
      <c r="M158" s="1">
        <v>10</v>
      </c>
      <c r="N158" s="1" t="s">
        <v>442</v>
      </c>
    </row>
    <row r="159" spans="1:14" x14ac:dyDescent="0.25">
      <c r="A159" s="1" t="s">
        <v>1741</v>
      </c>
      <c r="B159" s="1" t="s">
        <v>1609</v>
      </c>
      <c r="C159" s="1" t="s">
        <v>448</v>
      </c>
      <c r="D159" s="4">
        <v>3.5892967384151299E-2</v>
      </c>
      <c r="E159" s="3">
        <v>171495.291717257</v>
      </c>
      <c r="H159" s="1" t="s">
        <v>85</v>
      </c>
      <c r="I159" s="1" t="s">
        <v>86</v>
      </c>
      <c r="J159" s="1" t="s">
        <v>87</v>
      </c>
      <c r="K159" s="1">
        <v>7</v>
      </c>
      <c r="L159" s="1">
        <v>2.7570000000000001</v>
      </c>
      <c r="M159" s="1">
        <v>10</v>
      </c>
      <c r="N159" s="1" t="s">
        <v>442</v>
      </c>
    </row>
    <row r="160" spans="1:14" x14ac:dyDescent="0.25">
      <c r="A160" s="1" t="s">
        <v>1743</v>
      </c>
      <c r="B160" s="1" t="s">
        <v>1609</v>
      </c>
      <c r="C160" s="1" t="s">
        <v>9</v>
      </c>
      <c r="D160" s="4">
        <v>2.9536730158056801E-2</v>
      </c>
      <c r="E160" s="3">
        <v>318073.02496858698</v>
      </c>
      <c r="F160" s="3">
        <f>E160/7.8</f>
        <v>40778.592944690638</v>
      </c>
      <c r="G160" s="3">
        <f>F160/2</f>
        <v>20389.296472345319</v>
      </c>
      <c r="H160" s="1" t="s">
        <v>162</v>
      </c>
      <c r="I160" s="1" t="s">
        <v>163</v>
      </c>
      <c r="J160" s="1" t="s">
        <v>164</v>
      </c>
      <c r="K160" s="1">
        <v>14.2</v>
      </c>
      <c r="L160" s="1">
        <v>2.661</v>
      </c>
      <c r="M160" s="1">
        <v>10</v>
      </c>
      <c r="N160" s="1" t="s">
        <v>442</v>
      </c>
    </row>
    <row r="161" spans="1:14" x14ac:dyDescent="0.25">
      <c r="A161" s="1" t="s">
        <v>1743</v>
      </c>
      <c r="B161" s="1" t="s">
        <v>1609</v>
      </c>
      <c r="C161" s="1" t="s">
        <v>448</v>
      </c>
      <c r="D161" s="4">
        <v>7.2370682647647205E-2</v>
      </c>
      <c r="E161" s="3">
        <v>35641.208230488599</v>
      </c>
      <c r="H161" s="1" t="s">
        <v>162</v>
      </c>
      <c r="I161" s="1" t="s">
        <v>165</v>
      </c>
      <c r="J161" s="1" t="s">
        <v>166</v>
      </c>
      <c r="K161" s="1">
        <v>7</v>
      </c>
      <c r="L161" s="1">
        <v>2.661</v>
      </c>
      <c r="M161" s="1">
        <v>10</v>
      </c>
      <c r="N161" s="1" t="s">
        <v>442</v>
      </c>
    </row>
    <row r="162" spans="1:14" x14ac:dyDescent="0.25">
      <c r="A162" s="1" t="s">
        <v>1745</v>
      </c>
      <c r="B162" s="1" t="s">
        <v>1609</v>
      </c>
      <c r="C162" s="1" t="s">
        <v>9</v>
      </c>
      <c r="D162" s="4">
        <v>2.67909917379788E-2</v>
      </c>
      <c r="E162" s="3">
        <v>5727380.1363079799</v>
      </c>
      <c r="F162" s="3">
        <f>E162/7.8</f>
        <v>734279.5046548692</v>
      </c>
      <c r="G162" s="3">
        <f>F162/2</f>
        <v>367139.7523274346</v>
      </c>
      <c r="H162" s="1" t="s">
        <v>56</v>
      </c>
      <c r="I162" s="1" t="s">
        <v>252</v>
      </c>
      <c r="J162" s="1" t="s">
        <v>253</v>
      </c>
      <c r="K162" s="1">
        <v>14.2</v>
      </c>
      <c r="L162" s="1">
        <v>2.802</v>
      </c>
      <c r="M162" s="1">
        <v>100</v>
      </c>
      <c r="N162" s="1" t="s">
        <v>442</v>
      </c>
    </row>
    <row r="163" spans="1:14" x14ac:dyDescent="0.25">
      <c r="A163" s="1" t="s">
        <v>1745</v>
      </c>
      <c r="B163" s="1" t="s">
        <v>1609</v>
      </c>
      <c r="C163" s="1" t="s">
        <v>448</v>
      </c>
      <c r="D163" s="4">
        <v>4.9080241109160198E-2</v>
      </c>
      <c r="E163" s="3">
        <v>784493.37102195702</v>
      </c>
      <c r="H163" s="1" t="s">
        <v>130</v>
      </c>
      <c r="I163" s="1" t="s">
        <v>254</v>
      </c>
      <c r="J163" s="1" t="s">
        <v>255</v>
      </c>
      <c r="K163" s="1">
        <v>7</v>
      </c>
      <c r="L163" s="1">
        <v>2.802</v>
      </c>
      <c r="M163" s="1">
        <v>100</v>
      </c>
      <c r="N163" s="1" t="s">
        <v>442</v>
      </c>
    </row>
    <row r="164" spans="1:14" x14ac:dyDescent="0.25">
      <c r="A164" s="1" t="s">
        <v>1746</v>
      </c>
      <c r="B164" s="1" t="s">
        <v>1609</v>
      </c>
      <c r="C164" s="1" t="s">
        <v>9</v>
      </c>
      <c r="D164" s="4">
        <v>6.4198469645601094E-2</v>
      </c>
      <c r="E164" s="3">
        <v>20848506.117963299</v>
      </c>
      <c r="F164" s="3">
        <f>E164/7.8</f>
        <v>2672885.3997388845</v>
      </c>
      <c r="G164" s="3">
        <f>F164/2</f>
        <v>1336442.6998694423</v>
      </c>
      <c r="H164" s="1" t="s">
        <v>56</v>
      </c>
      <c r="I164" s="1" t="s">
        <v>213</v>
      </c>
      <c r="J164" s="1" t="s">
        <v>116</v>
      </c>
      <c r="K164" s="1">
        <v>14.2</v>
      </c>
      <c r="L164" s="1">
        <v>2.706</v>
      </c>
      <c r="M164" s="1">
        <v>100</v>
      </c>
      <c r="N164" s="1" t="s">
        <v>442</v>
      </c>
    </row>
    <row r="165" spans="1:14" x14ac:dyDescent="0.25">
      <c r="A165" s="1" t="s">
        <v>1746</v>
      </c>
      <c r="B165" s="1" t="s">
        <v>1609</v>
      </c>
      <c r="C165" s="1" t="s">
        <v>448</v>
      </c>
      <c r="D165" s="4">
        <v>3.0645922703509E-2</v>
      </c>
      <c r="E165" s="3">
        <v>2743369.49304609</v>
      </c>
      <c r="H165" s="1" t="s">
        <v>56</v>
      </c>
      <c r="I165" s="1" t="s">
        <v>395</v>
      </c>
      <c r="J165" s="1" t="s">
        <v>396</v>
      </c>
      <c r="K165" s="1">
        <v>7</v>
      </c>
      <c r="L165" s="1">
        <v>2.706</v>
      </c>
      <c r="M165" s="1">
        <v>100</v>
      </c>
      <c r="N165" s="1" t="s">
        <v>442</v>
      </c>
    </row>
    <row r="166" spans="1:14" x14ac:dyDescent="0.25">
      <c r="A166" s="1" t="s">
        <v>1747</v>
      </c>
      <c r="B166" s="1" t="s">
        <v>1609</v>
      </c>
      <c r="C166" s="1" t="s">
        <v>9</v>
      </c>
      <c r="D166" s="4">
        <v>2.92242212893849E-2</v>
      </c>
      <c r="E166" s="3">
        <v>924721.77234932501</v>
      </c>
      <c r="F166" s="3">
        <f>E166/7.8</f>
        <v>118554.0733781186</v>
      </c>
      <c r="G166" s="3">
        <f>F166/2</f>
        <v>59277.0366890593</v>
      </c>
      <c r="H166" s="1" t="s">
        <v>316</v>
      </c>
      <c r="I166" s="1" t="s">
        <v>317</v>
      </c>
      <c r="J166" s="1" t="s">
        <v>318</v>
      </c>
      <c r="K166" s="1">
        <v>14.2</v>
      </c>
      <c r="L166" s="1">
        <v>2.7559999999999998</v>
      </c>
      <c r="M166" s="1">
        <v>10</v>
      </c>
      <c r="N166" s="1" t="s">
        <v>442</v>
      </c>
    </row>
    <row r="167" spans="1:14" x14ac:dyDescent="0.25">
      <c r="A167" s="1" t="s">
        <v>1747</v>
      </c>
      <c r="B167" s="1" t="s">
        <v>1609</v>
      </c>
      <c r="C167" s="1" t="s">
        <v>448</v>
      </c>
      <c r="D167" s="4">
        <v>4.0568819971301101E-2</v>
      </c>
      <c r="E167" s="3">
        <v>128891.28046322</v>
      </c>
      <c r="H167" s="1" t="s">
        <v>319</v>
      </c>
      <c r="I167" s="1" t="s">
        <v>320</v>
      </c>
      <c r="J167" s="1" t="s">
        <v>321</v>
      </c>
      <c r="K167" s="1">
        <v>7</v>
      </c>
      <c r="L167" s="1">
        <v>2.7559999999999998</v>
      </c>
      <c r="M167" s="1">
        <v>10</v>
      </c>
      <c r="N167" s="1" t="s">
        <v>442</v>
      </c>
    </row>
    <row r="168" spans="1:14" x14ac:dyDescent="0.25">
      <c r="A168" s="1" t="s">
        <v>1754</v>
      </c>
      <c r="B168" s="1" t="s">
        <v>1609</v>
      </c>
      <c r="C168" s="1" t="s">
        <v>9</v>
      </c>
      <c r="D168" s="4">
        <v>3.29687289750367E-2</v>
      </c>
      <c r="E168" s="3">
        <v>117155.52588579799</v>
      </c>
      <c r="F168" s="3">
        <f>E168/7.8</f>
        <v>15019.939216127948</v>
      </c>
      <c r="G168" s="3">
        <f>F168/2</f>
        <v>7509.9696080639742</v>
      </c>
      <c r="H168" s="1" t="s">
        <v>17</v>
      </c>
      <c r="I168" s="1" t="s">
        <v>30</v>
      </c>
      <c r="J168" s="1" t="s">
        <v>31</v>
      </c>
      <c r="K168" s="1">
        <v>14.2</v>
      </c>
      <c r="L168" s="1">
        <v>2.81</v>
      </c>
      <c r="M168" s="1" t="s">
        <v>20</v>
      </c>
      <c r="N168" s="1" t="s">
        <v>442</v>
      </c>
    </row>
    <row r="169" spans="1:14" x14ac:dyDescent="0.25">
      <c r="A169" s="1" t="s">
        <v>1754</v>
      </c>
      <c r="B169" s="1" t="s">
        <v>1609</v>
      </c>
      <c r="C169" s="1" t="s">
        <v>448</v>
      </c>
      <c r="D169" s="4">
        <v>3.8235719917195897E-2</v>
      </c>
      <c r="E169" s="3">
        <v>14285.454555205701</v>
      </c>
      <c r="H169" s="1" t="s">
        <v>32</v>
      </c>
      <c r="I169" s="1" t="s">
        <v>33</v>
      </c>
      <c r="J169" s="1" t="s">
        <v>34</v>
      </c>
      <c r="K169" s="1">
        <v>7</v>
      </c>
      <c r="L169" s="1">
        <v>2.81</v>
      </c>
      <c r="M169" s="1" t="s">
        <v>20</v>
      </c>
      <c r="N169" s="1" t="s">
        <v>442</v>
      </c>
    </row>
    <row r="170" spans="1:14" x14ac:dyDescent="0.25">
      <c r="A170" s="1" t="s">
        <v>1755</v>
      </c>
      <c r="B170" s="1" t="s">
        <v>1609</v>
      </c>
      <c r="C170" s="1" t="s">
        <v>9</v>
      </c>
      <c r="D170" s="4">
        <v>2.9273630175159601E-2</v>
      </c>
      <c r="E170" s="3">
        <v>969453.52249805105</v>
      </c>
      <c r="F170" s="3">
        <f>E170/7.8</f>
        <v>124288.91314077578</v>
      </c>
      <c r="G170" s="3">
        <f>F170/2</f>
        <v>62144.456570387891</v>
      </c>
      <c r="H170" s="1" t="s">
        <v>124</v>
      </c>
      <c r="I170" s="1" t="s">
        <v>125</v>
      </c>
      <c r="J170" s="1" t="s">
        <v>126</v>
      </c>
      <c r="K170" s="1">
        <v>14.2</v>
      </c>
      <c r="L170" s="1">
        <v>2.7269999999999999</v>
      </c>
      <c r="M170" s="1">
        <v>10</v>
      </c>
      <c r="N170" s="1" t="s">
        <v>442</v>
      </c>
    </row>
    <row r="171" spans="1:14" x14ac:dyDescent="0.25">
      <c r="A171" s="1" t="s">
        <v>1755</v>
      </c>
      <c r="B171" s="1" t="s">
        <v>1609</v>
      </c>
      <c r="C171" s="1" t="s">
        <v>448</v>
      </c>
      <c r="D171" s="4">
        <v>4.01677341963525E-2</v>
      </c>
      <c r="E171" s="3">
        <v>129410.738829803</v>
      </c>
      <c r="H171" s="1" t="s">
        <v>127</v>
      </c>
      <c r="I171" s="1" t="s">
        <v>128</v>
      </c>
      <c r="J171" s="1" t="s">
        <v>129</v>
      </c>
      <c r="K171" s="1">
        <v>7</v>
      </c>
      <c r="L171" s="1">
        <v>2.7269999999999999</v>
      </c>
      <c r="M171" s="1">
        <v>10</v>
      </c>
      <c r="N171" s="1" t="s">
        <v>442</v>
      </c>
    </row>
    <row r="172" spans="1:14" x14ac:dyDescent="0.25">
      <c r="A172" s="1" t="s">
        <v>1756</v>
      </c>
      <c r="B172" s="1" t="s">
        <v>1609</v>
      </c>
      <c r="C172" s="1" t="s">
        <v>9</v>
      </c>
      <c r="D172" s="4">
        <v>0</v>
      </c>
      <c r="E172" s="3">
        <v>0</v>
      </c>
      <c r="F172" s="3">
        <f>E172/7.8</f>
        <v>0</v>
      </c>
      <c r="G172" s="3">
        <f>F172/2</f>
        <v>0</v>
      </c>
      <c r="H172" s="1" t="s">
        <v>56</v>
      </c>
      <c r="I172" s="1" t="s">
        <v>201</v>
      </c>
      <c r="J172" s="1" t="s">
        <v>56</v>
      </c>
      <c r="K172" s="1">
        <v>14.2</v>
      </c>
      <c r="L172" s="1">
        <v>2.621</v>
      </c>
      <c r="M172" s="1">
        <v>10</v>
      </c>
      <c r="N172" s="1" t="s">
        <v>442</v>
      </c>
    </row>
    <row r="173" spans="1:14" x14ac:dyDescent="0.25">
      <c r="A173" s="1" t="s">
        <v>1756</v>
      </c>
      <c r="B173" s="1" t="s">
        <v>1609</v>
      </c>
      <c r="C173" s="1" t="s">
        <v>448</v>
      </c>
      <c r="D173" s="4">
        <v>0</v>
      </c>
      <c r="E173" s="3">
        <v>0</v>
      </c>
      <c r="H173" s="1" t="s">
        <v>56</v>
      </c>
      <c r="I173" s="1" t="s">
        <v>201</v>
      </c>
      <c r="J173" s="1" t="s">
        <v>56</v>
      </c>
      <c r="K173" s="1">
        <v>7</v>
      </c>
      <c r="L173" s="1">
        <v>2.621</v>
      </c>
      <c r="M173" s="1">
        <v>10</v>
      </c>
      <c r="N173" s="1" t="s">
        <v>442</v>
      </c>
    </row>
    <row r="174" spans="1:14" x14ac:dyDescent="0.25">
      <c r="A174" s="1" t="s">
        <v>1757</v>
      </c>
      <c r="B174" s="1" t="s">
        <v>1609</v>
      </c>
      <c r="C174" s="1" t="s">
        <v>9</v>
      </c>
      <c r="D174" s="4">
        <v>3.0243023362072501E-2</v>
      </c>
      <c r="E174" s="3">
        <v>1090304.49825719</v>
      </c>
      <c r="F174" s="3">
        <f>E174/7.8</f>
        <v>139782.62798169104</v>
      </c>
      <c r="G174" s="3">
        <f>F174/2</f>
        <v>69891.31399084552</v>
      </c>
      <c r="H174" s="1" t="s">
        <v>17</v>
      </c>
      <c r="I174" s="1" t="s">
        <v>262</v>
      </c>
      <c r="J174" s="1" t="s">
        <v>263</v>
      </c>
      <c r="K174" s="1">
        <v>14.2</v>
      </c>
      <c r="L174" s="1">
        <v>2.6070000000000002</v>
      </c>
      <c r="M174" s="1">
        <v>10</v>
      </c>
      <c r="N174" s="1" t="s">
        <v>442</v>
      </c>
    </row>
    <row r="175" spans="1:14" x14ac:dyDescent="0.25">
      <c r="A175" s="1" t="s">
        <v>1757</v>
      </c>
      <c r="B175" s="1" t="s">
        <v>1609</v>
      </c>
      <c r="C175" s="1" t="s">
        <v>448</v>
      </c>
      <c r="D175" s="4">
        <v>4.03163565363285E-2</v>
      </c>
      <c r="E175" s="3">
        <v>134509.94379466501</v>
      </c>
      <c r="H175" s="1" t="s">
        <v>264</v>
      </c>
      <c r="I175" s="1" t="s">
        <v>265</v>
      </c>
      <c r="J175" s="1" t="s">
        <v>129</v>
      </c>
      <c r="K175" s="1">
        <v>7</v>
      </c>
      <c r="L175" s="1">
        <v>2.6070000000000002</v>
      </c>
      <c r="M175" s="1">
        <v>10</v>
      </c>
      <c r="N175" s="1" t="s">
        <v>442</v>
      </c>
    </row>
    <row r="176" spans="1:14" x14ac:dyDescent="0.25">
      <c r="A176" s="1" t="s">
        <v>1758</v>
      </c>
      <c r="B176" s="1" t="s">
        <v>1609</v>
      </c>
      <c r="C176" s="1" t="s">
        <v>9</v>
      </c>
      <c r="D176" s="4">
        <v>3.2572426395275599E-2</v>
      </c>
      <c r="E176" s="3">
        <v>1169263.77997037</v>
      </c>
      <c r="F176" s="3">
        <f>E176/7.8</f>
        <v>149905.6128167141</v>
      </c>
      <c r="G176" s="3">
        <f>F176/2</f>
        <v>74952.80640835705</v>
      </c>
      <c r="H176" s="1" t="s">
        <v>284</v>
      </c>
      <c r="I176" s="1" t="s">
        <v>285</v>
      </c>
      <c r="J176" s="1" t="s">
        <v>286</v>
      </c>
      <c r="K176" s="1">
        <v>14.2</v>
      </c>
      <c r="L176" s="1">
        <v>2.7669999999999999</v>
      </c>
      <c r="M176" s="1">
        <v>10</v>
      </c>
      <c r="N176" s="1" t="s">
        <v>442</v>
      </c>
    </row>
    <row r="177" spans="1:14" x14ac:dyDescent="0.25">
      <c r="A177" s="1" t="s">
        <v>1758</v>
      </c>
      <c r="B177" s="1" t="s">
        <v>1609</v>
      </c>
      <c r="C177" s="1" t="s">
        <v>448</v>
      </c>
      <c r="D177" s="4">
        <v>3.9091306083842398E-2</v>
      </c>
      <c r="E177" s="3">
        <v>136567.81356165299</v>
      </c>
      <c r="H177" s="1" t="s">
        <v>287</v>
      </c>
      <c r="I177" s="1" t="s">
        <v>288</v>
      </c>
      <c r="J177" s="1" t="s">
        <v>289</v>
      </c>
      <c r="K177" s="1">
        <v>7</v>
      </c>
      <c r="L177" s="1">
        <v>2.7669999999999999</v>
      </c>
      <c r="M177" s="1">
        <v>10</v>
      </c>
      <c r="N177" s="1" t="s">
        <v>442</v>
      </c>
    </row>
    <row r="178" spans="1:14" x14ac:dyDescent="0.25">
      <c r="A178" s="1" t="s">
        <v>1759</v>
      </c>
      <c r="B178" s="1" t="s">
        <v>1609</v>
      </c>
      <c r="C178" s="1" t="s">
        <v>9</v>
      </c>
      <c r="D178" s="4">
        <v>3.3216758344260397E-2</v>
      </c>
      <c r="E178" s="3">
        <v>215450.62531884899</v>
      </c>
      <c r="F178" s="3">
        <f>E178/7.8</f>
        <v>27621.875040878076</v>
      </c>
      <c r="G178" s="3">
        <f>F178/2</f>
        <v>13810.937520439038</v>
      </c>
      <c r="H178" s="1" t="s">
        <v>222</v>
      </c>
      <c r="I178" s="1" t="s">
        <v>373</v>
      </c>
      <c r="J178" s="1" t="s">
        <v>374</v>
      </c>
      <c r="K178" s="1">
        <v>14.2</v>
      </c>
      <c r="L178" s="1">
        <v>2.677</v>
      </c>
      <c r="M178" s="1">
        <v>10</v>
      </c>
      <c r="N178" s="1" t="s">
        <v>442</v>
      </c>
    </row>
    <row r="179" spans="1:14" x14ac:dyDescent="0.25">
      <c r="A179" s="1" t="s">
        <v>1759</v>
      </c>
      <c r="B179" s="1" t="s">
        <v>1609</v>
      </c>
      <c r="C179" s="1" t="s">
        <v>448</v>
      </c>
      <c r="D179" s="4">
        <v>8.6974756713407597E-2</v>
      </c>
      <c r="E179" s="3">
        <v>24162.090940304999</v>
      </c>
      <c r="H179" s="1" t="s">
        <v>98</v>
      </c>
      <c r="I179" s="1" t="s">
        <v>375</v>
      </c>
      <c r="J179" s="1" t="s">
        <v>376</v>
      </c>
      <c r="K179" s="1">
        <v>7</v>
      </c>
      <c r="L179" s="1">
        <v>2.677</v>
      </c>
      <c r="M179" s="1">
        <v>10</v>
      </c>
      <c r="N179" s="1" t="s">
        <v>442</v>
      </c>
    </row>
    <row r="180" spans="1:14" x14ac:dyDescent="0.25">
      <c r="A180" s="1" t="s">
        <v>1760</v>
      </c>
      <c r="B180" s="1" t="s">
        <v>1609</v>
      </c>
      <c r="C180" s="1" t="s">
        <v>9</v>
      </c>
      <c r="D180" s="4">
        <v>2.6832874847324901E-2</v>
      </c>
      <c r="E180" s="3">
        <v>6524504.4164134404</v>
      </c>
      <c r="F180" s="3">
        <f>E180/7.8</f>
        <v>836474.92518121027</v>
      </c>
      <c r="G180" s="3">
        <f>F180/2</f>
        <v>418237.46259060514</v>
      </c>
      <c r="H180" s="1" t="s">
        <v>227</v>
      </c>
      <c r="I180" s="1" t="s">
        <v>405</v>
      </c>
      <c r="J180" s="1" t="s">
        <v>406</v>
      </c>
      <c r="K180" s="1">
        <v>14.2</v>
      </c>
      <c r="L180" s="1">
        <v>2.7120000000000002</v>
      </c>
      <c r="M180" s="1">
        <v>100</v>
      </c>
      <c r="N180" s="1" t="s">
        <v>442</v>
      </c>
    </row>
    <row r="181" spans="1:14" x14ac:dyDescent="0.25">
      <c r="A181" s="1" t="s">
        <v>1760</v>
      </c>
      <c r="B181" s="1" t="s">
        <v>1609</v>
      </c>
      <c r="C181" s="1" t="s">
        <v>448</v>
      </c>
      <c r="D181" s="4">
        <v>4.6315991343919699E-2</v>
      </c>
      <c r="E181" s="3">
        <v>928725.37927817705</v>
      </c>
      <c r="H181" s="1" t="s">
        <v>407</v>
      </c>
      <c r="I181" s="1" t="s">
        <v>408</v>
      </c>
      <c r="J181" s="1" t="s">
        <v>409</v>
      </c>
      <c r="K181" s="1">
        <v>7</v>
      </c>
      <c r="L181" s="1">
        <v>2.7120000000000002</v>
      </c>
      <c r="M181" s="1">
        <v>100</v>
      </c>
      <c r="N181" s="1" t="s">
        <v>442</v>
      </c>
    </row>
    <row r="182" spans="1:14" x14ac:dyDescent="0.25">
      <c r="A182" s="1" t="s">
        <v>1787</v>
      </c>
      <c r="B182" s="1" t="s">
        <v>1609</v>
      </c>
      <c r="C182" s="1" t="s">
        <v>9</v>
      </c>
      <c r="D182" s="4">
        <v>3.0096375021865601E-2</v>
      </c>
      <c r="E182" s="3">
        <v>1036361.40858542</v>
      </c>
      <c r="F182" s="3">
        <f>E182/7.8</f>
        <v>132866.84725454103</v>
      </c>
      <c r="G182" s="3">
        <f>F182/2</f>
        <v>66433.423627270517</v>
      </c>
      <c r="H182" s="1" t="s">
        <v>410</v>
      </c>
      <c r="I182" s="1" t="s">
        <v>411</v>
      </c>
      <c r="J182" s="1" t="s">
        <v>412</v>
      </c>
      <c r="K182" s="1">
        <v>14.2</v>
      </c>
      <c r="L182" s="1">
        <v>2.7280000000000002</v>
      </c>
      <c r="M182" s="1">
        <v>10</v>
      </c>
      <c r="N182" s="1" t="s">
        <v>442</v>
      </c>
    </row>
    <row r="183" spans="1:14" x14ac:dyDescent="0.25">
      <c r="A183" s="1" t="s">
        <v>1787</v>
      </c>
      <c r="B183" s="1" t="s">
        <v>1609</v>
      </c>
      <c r="C183" s="1" t="s">
        <v>448</v>
      </c>
      <c r="D183" s="4">
        <v>4.1881123086298898E-2</v>
      </c>
      <c r="E183" s="3">
        <v>116301.069641917</v>
      </c>
      <c r="H183" s="1" t="s">
        <v>124</v>
      </c>
      <c r="I183" s="1" t="s">
        <v>413</v>
      </c>
      <c r="J183" s="1" t="s">
        <v>414</v>
      </c>
      <c r="K183" s="1">
        <v>7</v>
      </c>
      <c r="L183" s="1">
        <v>2.7280000000000002</v>
      </c>
      <c r="M183" s="1">
        <v>10</v>
      </c>
      <c r="N183" s="1" t="s">
        <v>442</v>
      </c>
    </row>
    <row r="184" spans="1:14" x14ac:dyDescent="0.25">
      <c r="A184" s="1" t="s">
        <v>1788</v>
      </c>
      <c r="B184" s="1" t="s">
        <v>1609</v>
      </c>
      <c r="C184" s="1" t="s">
        <v>9</v>
      </c>
      <c r="D184" s="4">
        <v>4.4059717363616802E-2</v>
      </c>
      <c r="E184" s="3">
        <v>16552504.369036401</v>
      </c>
      <c r="F184" s="3">
        <f>E184/7.8</f>
        <v>2122115.9447482564</v>
      </c>
      <c r="G184" s="3">
        <f>F184/2</f>
        <v>1061057.9723741282</v>
      </c>
      <c r="H184" s="1" t="s">
        <v>207</v>
      </c>
      <c r="I184" s="1" t="s">
        <v>189</v>
      </c>
      <c r="J184" s="1" t="s">
        <v>377</v>
      </c>
      <c r="K184" s="1">
        <v>14.2</v>
      </c>
      <c r="L184" s="1">
        <v>2.694</v>
      </c>
      <c r="M184" s="1">
        <v>100</v>
      </c>
      <c r="N184" s="1" t="s">
        <v>442</v>
      </c>
    </row>
    <row r="185" spans="1:14" x14ac:dyDescent="0.25">
      <c r="A185" s="1" t="s">
        <v>1788</v>
      </c>
      <c r="B185" s="1" t="s">
        <v>1609</v>
      </c>
      <c r="C185" s="1" t="s">
        <v>448</v>
      </c>
      <c r="D185" s="4">
        <v>3.3968492026812597E-2</v>
      </c>
      <c r="E185" s="3">
        <v>2013669.88498487</v>
      </c>
      <c r="H185" s="1" t="s">
        <v>207</v>
      </c>
      <c r="I185" s="1" t="s">
        <v>378</v>
      </c>
      <c r="J185" s="1" t="s">
        <v>379</v>
      </c>
      <c r="K185" s="1">
        <v>7</v>
      </c>
      <c r="L185" s="1">
        <v>2.694</v>
      </c>
      <c r="M185" s="1">
        <v>100</v>
      </c>
      <c r="N185" s="1" t="s">
        <v>442</v>
      </c>
    </row>
    <row r="186" spans="1:14" x14ac:dyDescent="0.25">
      <c r="A186" s="1" t="s">
        <v>1789</v>
      </c>
      <c r="B186" s="1" t="s">
        <v>1609</v>
      </c>
      <c r="C186" s="1" t="s">
        <v>9</v>
      </c>
      <c r="D186" s="4">
        <v>2.6859373966519499E-2</v>
      </c>
      <c r="E186" s="3">
        <v>5457181.6168293804</v>
      </c>
      <c r="F186" s="3">
        <f>E186/7.8</f>
        <v>699638.66882427956</v>
      </c>
      <c r="G186" s="3">
        <f>F186/2</f>
        <v>349819.33441213978</v>
      </c>
      <c r="H186" s="1" t="s">
        <v>27</v>
      </c>
      <c r="I186" s="1" t="s">
        <v>290</v>
      </c>
      <c r="J186" s="1" t="s">
        <v>215</v>
      </c>
      <c r="K186" s="1">
        <v>14.2</v>
      </c>
      <c r="L186" s="1">
        <v>2.6880000000000002</v>
      </c>
      <c r="M186" s="1">
        <v>100</v>
      </c>
      <c r="N186" s="1" t="s">
        <v>442</v>
      </c>
    </row>
    <row r="187" spans="1:14" x14ac:dyDescent="0.25">
      <c r="A187" s="1" t="s">
        <v>1789</v>
      </c>
      <c r="B187" s="1" t="s">
        <v>1609</v>
      </c>
      <c r="C187" s="1" t="s">
        <v>448</v>
      </c>
      <c r="D187" s="4">
        <v>5.2347754979436598E-2</v>
      </c>
      <c r="E187" s="3">
        <v>708317.97532739502</v>
      </c>
      <c r="H187" s="1" t="s">
        <v>76</v>
      </c>
      <c r="I187" s="1" t="s">
        <v>291</v>
      </c>
      <c r="J187" s="1" t="s">
        <v>44</v>
      </c>
      <c r="K187" s="1">
        <v>7</v>
      </c>
      <c r="L187" s="1">
        <v>2.6880000000000002</v>
      </c>
      <c r="M187" s="1">
        <v>100</v>
      </c>
      <c r="N187" s="1" t="s">
        <v>442</v>
      </c>
    </row>
    <row r="188" spans="1:14" x14ac:dyDescent="0.25">
      <c r="A188" s="1" t="s">
        <v>1790</v>
      </c>
      <c r="B188" s="1" t="s">
        <v>1609</v>
      </c>
      <c r="C188" s="1" t="s">
        <v>9</v>
      </c>
      <c r="D188" s="4">
        <v>3.2209692078646997E-2</v>
      </c>
      <c r="E188" s="3">
        <v>2679319.1241099802</v>
      </c>
      <c r="F188" s="3">
        <f>E188/7.8</f>
        <v>343502.45180897182</v>
      </c>
      <c r="G188" s="3">
        <f>F188/2</f>
        <v>171751.22590448591</v>
      </c>
      <c r="H188" s="1" t="s">
        <v>266</v>
      </c>
      <c r="I188" s="1" t="s">
        <v>267</v>
      </c>
      <c r="J188" s="1" t="s">
        <v>268</v>
      </c>
      <c r="K188" s="1">
        <v>14.2</v>
      </c>
      <c r="L188" s="1">
        <v>2.54</v>
      </c>
      <c r="M188" s="1">
        <v>100</v>
      </c>
      <c r="N188" s="1" t="s">
        <v>442</v>
      </c>
    </row>
    <row r="189" spans="1:14" x14ac:dyDescent="0.25">
      <c r="A189" s="1" t="s">
        <v>1790</v>
      </c>
      <c r="B189" s="1" t="s">
        <v>1609</v>
      </c>
      <c r="C189" s="1" t="s">
        <v>448</v>
      </c>
      <c r="D189" s="4">
        <v>7.8800544632220706E-2</v>
      </c>
      <c r="E189" s="3">
        <v>328048.61572630802</v>
      </c>
      <c r="H189" s="1" t="s">
        <v>266</v>
      </c>
      <c r="I189" s="1" t="s">
        <v>269</v>
      </c>
      <c r="J189" s="1" t="s">
        <v>270</v>
      </c>
      <c r="K189" s="1">
        <v>7</v>
      </c>
      <c r="L189" s="1">
        <v>2.54</v>
      </c>
      <c r="M189" s="1">
        <v>100</v>
      </c>
      <c r="N189" s="1" t="s">
        <v>442</v>
      </c>
    </row>
    <row r="190" spans="1:14" x14ac:dyDescent="0.25">
      <c r="A190" s="1" t="s">
        <v>1791</v>
      </c>
      <c r="B190" s="1" t="s">
        <v>1609</v>
      </c>
      <c r="C190" s="1" t="s">
        <v>9</v>
      </c>
      <c r="D190" s="4">
        <v>2.86244739884506E-2</v>
      </c>
      <c r="E190" s="3">
        <v>944331.40973666997</v>
      </c>
      <c r="F190" s="3">
        <f>E190/7.8</f>
        <v>121068.12945341923</v>
      </c>
      <c r="G190" s="3">
        <f>F190/2</f>
        <v>60534.064726709614</v>
      </c>
      <c r="H190" s="1" t="s">
        <v>56</v>
      </c>
      <c r="I190" s="1" t="s">
        <v>202</v>
      </c>
      <c r="J190" s="1" t="s">
        <v>203</v>
      </c>
      <c r="K190" s="1">
        <v>14.2</v>
      </c>
      <c r="L190" s="1">
        <v>2.6389999999999998</v>
      </c>
      <c r="M190" s="1">
        <v>10</v>
      </c>
      <c r="N190" s="1" t="s">
        <v>442</v>
      </c>
    </row>
    <row r="191" spans="1:14" x14ac:dyDescent="0.25">
      <c r="A191" s="1" t="s">
        <v>1791</v>
      </c>
      <c r="B191" s="1" t="s">
        <v>1609</v>
      </c>
      <c r="C191" s="1" t="s">
        <v>448</v>
      </c>
      <c r="D191" s="4">
        <v>4.2212577883730097E-2</v>
      </c>
      <c r="E191" s="3">
        <v>118632.32288291</v>
      </c>
      <c r="H191" s="1" t="s">
        <v>204</v>
      </c>
      <c r="I191" s="1" t="s">
        <v>205</v>
      </c>
      <c r="J191" s="1" t="s">
        <v>206</v>
      </c>
      <c r="K191" s="1">
        <v>7</v>
      </c>
      <c r="L191" s="1">
        <v>2.6389999999999998</v>
      </c>
      <c r="M191" s="1">
        <v>10</v>
      </c>
      <c r="N191" s="1" t="s">
        <v>442</v>
      </c>
    </row>
    <row r="192" spans="1:14" x14ac:dyDescent="0.25">
      <c r="A192" s="1" t="s">
        <v>1792</v>
      </c>
      <c r="B192" s="1" t="s">
        <v>1609</v>
      </c>
      <c r="C192" s="1" t="s">
        <v>9</v>
      </c>
      <c r="D192" s="4">
        <v>2.6822606070786601E-2</v>
      </c>
      <c r="E192" s="3">
        <v>568629.76047361805</v>
      </c>
      <c r="F192" s="3">
        <f>E192/7.8</f>
        <v>72901.251342771546</v>
      </c>
      <c r="G192" s="3">
        <f>F192/2</f>
        <v>36450.625671385773</v>
      </c>
      <c r="H192" s="1" t="s">
        <v>130</v>
      </c>
      <c r="I192" s="1" t="s">
        <v>131</v>
      </c>
      <c r="J192" s="1" t="s">
        <v>132</v>
      </c>
      <c r="K192" s="1">
        <v>14.2</v>
      </c>
      <c r="L192" s="1">
        <v>2.7160000000000002</v>
      </c>
      <c r="M192" s="1">
        <v>10</v>
      </c>
      <c r="N192" s="1" t="s">
        <v>442</v>
      </c>
    </row>
    <row r="193" spans="1:14" x14ac:dyDescent="0.25">
      <c r="A193" s="1" t="s">
        <v>1792</v>
      </c>
      <c r="B193" s="1" t="s">
        <v>1609</v>
      </c>
      <c r="C193" s="1" t="s">
        <v>448</v>
      </c>
      <c r="D193" s="4">
        <v>5.32398110155268E-2</v>
      </c>
      <c r="E193" s="3">
        <v>67605.979426585094</v>
      </c>
      <c r="H193" s="1" t="s">
        <v>133</v>
      </c>
      <c r="I193" s="1" t="s">
        <v>134</v>
      </c>
      <c r="J193" s="1" t="s">
        <v>135</v>
      </c>
      <c r="K193" s="1">
        <v>7</v>
      </c>
      <c r="L193" s="1">
        <v>2.7160000000000002</v>
      </c>
      <c r="M193" s="1">
        <v>10</v>
      </c>
      <c r="N193" s="1" t="s">
        <v>442</v>
      </c>
    </row>
    <row r="194" spans="1:14" x14ac:dyDescent="0.25">
      <c r="A194" s="1" t="s">
        <v>1793</v>
      </c>
      <c r="B194" s="1" t="s">
        <v>1609</v>
      </c>
      <c r="C194" s="1" t="s">
        <v>9</v>
      </c>
      <c r="D194" s="4">
        <v>2.6891343391712001E-2</v>
      </c>
      <c r="E194" s="3">
        <v>505614.31859983801</v>
      </c>
      <c r="F194" s="3">
        <f>E194/7.8</f>
        <v>64822.348538440769</v>
      </c>
      <c r="G194" s="3">
        <f>F194/2</f>
        <v>32411.174269220384</v>
      </c>
      <c r="H194" s="1" t="s">
        <v>35</v>
      </c>
      <c r="I194" s="1" t="s">
        <v>36</v>
      </c>
      <c r="J194" s="1" t="s">
        <v>37</v>
      </c>
      <c r="K194" s="1">
        <v>14.2</v>
      </c>
      <c r="L194" s="1">
        <v>2.8069999999999999</v>
      </c>
      <c r="M194" s="1">
        <v>10</v>
      </c>
      <c r="N194" s="1" t="s">
        <v>442</v>
      </c>
    </row>
    <row r="195" spans="1:14" x14ac:dyDescent="0.25">
      <c r="A195" s="1" t="s">
        <v>1793</v>
      </c>
      <c r="B195" s="1" t="s">
        <v>1609</v>
      </c>
      <c r="C195" s="1" t="s">
        <v>448</v>
      </c>
      <c r="D195" s="4">
        <v>5.50197903566116E-2</v>
      </c>
      <c r="E195" s="3">
        <v>60615.488982090101</v>
      </c>
      <c r="H195" s="1" t="s">
        <v>38</v>
      </c>
      <c r="I195" s="1" t="s">
        <v>39</v>
      </c>
      <c r="J195" s="1" t="s">
        <v>40</v>
      </c>
      <c r="K195" s="1">
        <v>7</v>
      </c>
      <c r="L195" s="1">
        <v>2.8069999999999999</v>
      </c>
      <c r="M195" s="1">
        <v>10</v>
      </c>
      <c r="N195" s="1" t="s">
        <v>442</v>
      </c>
    </row>
    <row r="196" spans="1:14" x14ac:dyDescent="0.25">
      <c r="A196" s="1" t="s">
        <v>1817</v>
      </c>
      <c r="B196" s="1" t="s">
        <v>1609</v>
      </c>
      <c r="C196" s="1" t="s">
        <v>9</v>
      </c>
      <c r="D196" s="4">
        <v>4.0336581547266902E-2</v>
      </c>
      <c r="E196" s="3">
        <v>1465348.3834720501</v>
      </c>
      <c r="F196" s="3">
        <f>E196/7.8</f>
        <v>187865.17736821156</v>
      </c>
      <c r="G196" s="3">
        <f>F196/2</f>
        <v>93932.58868410578</v>
      </c>
      <c r="H196" s="1" t="s">
        <v>136</v>
      </c>
      <c r="I196" s="1" t="s">
        <v>137</v>
      </c>
      <c r="J196" s="1" t="s">
        <v>138</v>
      </c>
      <c r="K196" s="1">
        <v>14.2</v>
      </c>
      <c r="L196" s="1">
        <v>2.8220000000000001</v>
      </c>
      <c r="M196" s="1">
        <v>10</v>
      </c>
      <c r="N196" s="1" t="s">
        <v>442</v>
      </c>
    </row>
    <row r="197" spans="1:14" x14ac:dyDescent="0.25">
      <c r="A197" s="1" t="s">
        <v>1817</v>
      </c>
      <c r="B197" s="1" t="s">
        <v>1609</v>
      </c>
      <c r="C197" s="1" t="s">
        <v>448</v>
      </c>
      <c r="D197" s="4">
        <v>3.3491855244850398E-2</v>
      </c>
      <c r="E197" s="3">
        <v>200520.84515419</v>
      </c>
      <c r="H197" s="1" t="s">
        <v>136</v>
      </c>
      <c r="I197" s="1" t="s">
        <v>139</v>
      </c>
      <c r="J197" s="1" t="s">
        <v>140</v>
      </c>
      <c r="K197" s="1">
        <v>7</v>
      </c>
      <c r="L197" s="1">
        <v>2.8220000000000001</v>
      </c>
      <c r="M197" s="1">
        <v>10</v>
      </c>
      <c r="N197" s="1" t="s">
        <v>442</v>
      </c>
    </row>
    <row r="198" spans="1:14" x14ac:dyDescent="0.25">
      <c r="A198" s="1" t="s">
        <v>1821</v>
      </c>
      <c r="B198" s="1" t="s">
        <v>1609</v>
      </c>
      <c r="C198" s="1" t="s">
        <v>9</v>
      </c>
      <c r="D198" s="4">
        <v>2.9273633290459299E-2</v>
      </c>
      <c r="E198" s="3">
        <v>965227.84457764798</v>
      </c>
      <c r="F198" s="3">
        <f>E198/7.8</f>
        <v>123747.15956123693</v>
      </c>
      <c r="G198" s="3">
        <f>F198/2</f>
        <v>61873.579780618464</v>
      </c>
      <c r="H198" s="1" t="s">
        <v>88</v>
      </c>
      <c r="I198" s="1" t="s">
        <v>415</v>
      </c>
      <c r="J198" s="1" t="s">
        <v>416</v>
      </c>
      <c r="K198" s="1">
        <v>14.2</v>
      </c>
      <c r="L198" s="1">
        <v>2.734</v>
      </c>
      <c r="M198" s="1">
        <v>10</v>
      </c>
      <c r="N198" s="1" t="s">
        <v>442</v>
      </c>
    </row>
    <row r="199" spans="1:14" x14ac:dyDescent="0.25">
      <c r="A199" s="1" t="s">
        <v>1821</v>
      </c>
      <c r="B199" s="1" t="s">
        <v>1609</v>
      </c>
      <c r="C199" s="1" t="s">
        <v>448</v>
      </c>
      <c r="D199" s="4">
        <v>4.2080537940588698E-2</v>
      </c>
      <c r="E199" s="3">
        <v>115637.879525738</v>
      </c>
      <c r="H199" s="1" t="s">
        <v>417</v>
      </c>
      <c r="I199" s="1" t="s">
        <v>418</v>
      </c>
      <c r="J199" s="1" t="s">
        <v>419</v>
      </c>
      <c r="K199" s="1">
        <v>7</v>
      </c>
      <c r="L199" s="1">
        <v>2.734</v>
      </c>
      <c r="M199" s="1">
        <v>10</v>
      </c>
      <c r="N199" s="1" t="s">
        <v>442</v>
      </c>
    </row>
    <row r="200" spans="1:14" x14ac:dyDescent="0.25">
      <c r="A200" s="1" t="s">
        <v>1822</v>
      </c>
      <c r="B200" s="1" t="s">
        <v>1609</v>
      </c>
      <c r="C200" s="1" t="s">
        <v>9</v>
      </c>
      <c r="D200" s="4">
        <v>2.7632402724747401E-2</v>
      </c>
      <c r="E200" s="3">
        <v>810392.03746114601</v>
      </c>
      <c r="F200" s="3">
        <f>E200/7.8</f>
        <v>103896.41505912128</v>
      </c>
      <c r="G200" s="3">
        <f>F200/2</f>
        <v>51948.207529560641</v>
      </c>
      <c r="H200" s="1" t="s">
        <v>27</v>
      </c>
      <c r="I200" s="1" t="s">
        <v>380</v>
      </c>
      <c r="J200" s="1" t="s">
        <v>258</v>
      </c>
      <c r="K200" s="1">
        <v>14.2</v>
      </c>
      <c r="L200" s="1">
        <v>2.714</v>
      </c>
      <c r="M200" s="1">
        <v>10</v>
      </c>
      <c r="N200" s="1" t="s">
        <v>442</v>
      </c>
    </row>
    <row r="201" spans="1:14" x14ac:dyDescent="0.25">
      <c r="A201" s="1" t="s">
        <v>1822</v>
      </c>
      <c r="B201" s="1" t="s">
        <v>1609</v>
      </c>
      <c r="C201" s="1" t="s">
        <v>448</v>
      </c>
      <c r="D201" s="4">
        <v>4.5237379307664603E-2</v>
      </c>
      <c r="E201" s="3">
        <v>98134.932258562607</v>
      </c>
      <c r="H201" s="1" t="s">
        <v>381</v>
      </c>
      <c r="I201" s="1" t="s">
        <v>382</v>
      </c>
      <c r="J201" s="1" t="s">
        <v>383</v>
      </c>
      <c r="K201" s="1">
        <v>7</v>
      </c>
      <c r="L201" s="1">
        <v>2.714</v>
      </c>
      <c r="M201" s="1">
        <v>10</v>
      </c>
      <c r="N201" s="1" t="s">
        <v>442</v>
      </c>
    </row>
    <row r="202" spans="1:14" x14ac:dyDescent="0.25">
      <c r="A202" s="1" t="s">
        <v>1823</v>
      </c>
      <c r="B202" s="1" t="s">
        <v>1609</v>
      </c>
      <c r="C202" s="1" t="s">
        <v>9</v>
      </c>
      <c r="D202" s="4">
        <v>2.98091873885852E-2</v>
      </c>
      <c r="E202" s="3">
        <v>3111000.9557423699</v>
      </c>
      <c r="F202" s="3">
        <f>E202/7.8</f>
        <v>398846.27637722692</v>
      </c>
      <c r="G202" s="3">
        <f>F202/2</f>
        <v>199423.13818861346</v>
      </c>
      <c r="H202" s="1" t="s">
        <v>240</v>
      </c>
      <c r="I202" s="1" t="s">
        <v>292</v>
      </c>
      <c r="J202" s="1" t="s">
        <v>293</v>
      </c>
      <c r="K202" s="1">
        <v>14.2</v>
      </c>
      <c r="L202" s="1">
        <v>2.6240000000000001</v>
      </c>
      <c r="M202" s="1">
        <v>100</v>
      </c>
      <c r="N202" s="1" t="s">
        <v>442</v>
      </c>
    </row>
    <row r="203" spans="1:14" x14ac:dyDescent="0.25">
      <c r="A203" s="1" t="s">
        <v>1823</v>
      </c>
      <c r="B203" s="1" t="s">
        <v>1609</v>
      </c>
      <c r="C203" s="1" t="s">
        <v>448</v>
      </c>
      <c r="D203" s="4">
        <v>7.0891499946706293E-2</v>
      </c>
      <c r="E203" s="3">
        <v>377179.920053804</v>
      </c>
      <c r="H203" s="1" t="s">
        <v>294</v>
      </c>
      <c r="I203" s="1" t="s">
        <v>295</v>
      </c>
      <c r="J203" s="1" t="s">
        <v>296</v>
      </c>
      <c r="K203" s="1">
        <v>7</v>
      </c>
      <c r="L203" s="1">
        <v>2.6240000000000001</v>
      </c>
      <c r="M203" s="1">
        <v>100</v>
      </c>
      <c r="N203" s="1" t="s">
        <v>442</v>
      </c>
    </row>
    <row r="204" spans="1:14" x14ac:dyDescent="0.25">
      <c r="A204" s="1" t="s">
        <v>1824</v>
      </c>
      <c r="B204" s="1" t="s">
        <v>1609</v>
      </c>
      <c r="C204" s="1" t="s">
        <v>9</v>
      </c>
      <c r="D204" s="4">
        <v>3.0433034463598199E-2</v>
      </c>
      <c r="E204" s="3">
        <v>1119959.1941619001</v>
      </c>
      <c r="F204" s="3">
        <f>E204/7.8</f>
        <v>143584.51207203849</v>
      </c>
      <c r="G204" s="3">
        <f>F204/2</f>
        <v>71792.256036019244</v>
      </c>
      <c r="H204" s="1" t="s">
        <v>124</v>
      </c>
      <c r="I204" s="1" t="s">
        <v>271</v>
      </c>
      <c r="J204" s="1" t="s">
        <v>272</v>
      </c>
      <c r="K204" s="1">
        <v>14.2</v>
      </c>
      <c r="L204" s="1">
        <v>2.5710000000000002</v>
      </c>
      <c r="M204" s="1">
        <v>10</v>
      </c>
      <c r="N204" s="1" t="s">
        <v>442</v>
      </c>
    </row>
    <row r="205" spans="1:14" x14ac:dyDescent="0.25">
      <c r="A205" s="1" t="s">
        <v>1824</v>
      </c>
      <c r="B205" s="1" t="s">
        <v>1609</v>
      </c>
      <c r="C205" s="1" t="s">
        <v>448</v>
      </c>
      <c r="D205" s="4">
        <v>4.0760660822174902E-2</v>
      </c>
      <c r="E205" s="3">
        <v>132662.08584716101</v>
      </c>
      <c r="H205" s="1" t="s">
        <v>273</v>
      </c>
      <c r="I205" s="1" t="s">
        <v>274</v>
      </c>
      <c r="J205" s="1" t="s">
        <v>61</v>
      </c>
      <c r="K205" s="1">
        <v>7</v>
      </c>
      <c r="L205" s="1">
        <v>2.5710000000000002</v>
      </c>
      <c r="M205" s="1">
        <v>10</v>
      </c>
      <c r="N205" s="1" t="s">
        <v>442</v>
      </c>
    </row>
    <row r="206" spans="1:14" x14ac:dyDescent="0.25">
      <c r="A206" s="1" t="s">
        <v>1825</v>
      </c>
      <c r="B206" s="1" t="s">
        <v>1609</v>
      </c>
      <c r="C206" s="1" t="s">
        <v>9</v>
      </c>
      <c r="D206" s="4">
        <v>3.5876614357948797E-2</v>
      </c>
      <c r="E206" s="3">
        <v>13721636.8787266</v>
      </c>
      <c r="F206" s="3">
        <f>E206/7.8</f>
        <v>1759184.2152213589</v>
      </c>
      <c r="G206" s="3">
        <f>F206/2</f>
        <v>879592.10761067946</v>
      </c>
      <c r="H206" s="1" t="s">
        <v>207</v>
      </c>
      <c r="I206" s="1" t="s">
        <v>208</v>
      </c>
      <c r="J206" s="1" t="s">
        <v>209</v>
      </c>
      <c r="K206" s="1">
        <v>14.2</v>
      </c>
      <c r="L206" s="1">
        <v>2.6760000000000002</v>
      </c>
      <c r="M206" s="1">
        <v>100</v>
      </c>
      <c r="N206" s="1" t="s">
        <v>442</v>
      </c>
    </row>
    <row r="207" spans="1:14" x14ac:dyDescent="0.25">
      <c r="A207" s="1" t="s">
        <v>1825</v>
      </c>
      <c r="B207" s="1" t="s">
        <v>1609</v>
      </c>
      <c r="C207" s="1" t="s">
        <v>448</v>
      </c>
      <c r="D207" s="4">
        <v>3.5533531174273901E-2</v>
      </c>
      <c r="E207" s="3">
        <v>1818119.62505903</v>
      </c>
      <c r="H207" s="1" t="s">
        <v>210</v>
      </c>
      <c r="I207" s="1" t="s">
        <v>211</v>
      </c>
      <c r="J207" s="1" t="s">
        <v>212</v>
      </c>
      <c r="K207" s="1">
        <v>7</v>
      </c>
      <c r="L207" s="1">
        <v>2.6760000000000002</v>
      </c>
      <c r="M207" s="1">
        <v>100</v>
      </c>
      <c r="N207" s="1" t="s">
        <v>442</v>
      </c>
    </row>
    <row r="208" spans="1:14" x14ac:dyDescent="0.25">
      <c r="A208" s="1" t="s">
        <v>1838</v>
      </c>
      <c r="B208" s="1" t="s">
        <v>1609</v>
      </c>
      <c r="C208" s="1" t="s">
        <v>9</v>
      </c>
      <c r="D208" s="4">
        <v>5.1003238345894902E-2</v>
      </c>
      <c r="E208" s="3">
        <v>177167.35905109401</v>
      </c>
      <c r="F208" s="3">
        <f>E208/7.8</f>
        <v>22713.763980909491</v>
      </c>
      <c r="G208" s="3">
        <f>F208/2</f>
        <v>11356.881990454745</v>
      </c>
      <c r="H208" s="1" t="s">
        <v>45</v>
      </c>
      <c r="I208" s="1" t="s">
        <v>46</v>
      </c>
      <c r="J208" s="1" t="s">
        <v>47</v>
      </c>
      <c r="K208" s="1">
        <v>14.2</v>
      </c>
      <c r="L208" s="1">
        <v>2.7919999999999998</v>
      </c>
      <c r="M208" s="1" t="s">
        <v>20</v>
      </c>
      <c r="N208" s="1" t="s">
        <v>442</v>
      </c>
    </row>
    <row r="209" spans="1:14" x14ac:dyDescent="0.25">
      <c r="A209" s="1" t="s">
        <v>1838</v>
      </c>
      <c r="B209" s="1" t="s">
        <v>1609</v>
      </c>
      <c r="C209" s="1" t="s">
        <v>448</v>
      </c>
      <c r="D209" s="4">
        <v>3.1733196529190301E-2</v>
      </c>
      <c r="E209" s="3">
        <v>23850.182974140102</v>
      </c>
      <c r="H209" s="1" t="s">
        <v>45</v>
      </c>
      <c r="I209" s="1" t="s">
        <v>48</v>
      </c>
      <c r="J209" s="1" t="s">
        <v>49</v>
      </c>
      <c r="K209" s="1">
        <v>7</v>
      </c>
      <c r="L209" s="1">
        <v>2.7919999999999998</v>
      </c>
      <c r="M209" s="1" t="s">
        <v>20</v>
      </c>
      <c r="N209" s="1" t="s">
        <v>442</v>
      </c>
    </row>
    <row r="210" spans="1:14" x14ac:dyDescent="0.25">
      <c r="A210" s="1" t="s">
        <v>1839</v>
      </c>
      <c r="B210" s="1" t="s">
        <v>1609</v>
      </c>
      <c r="C210" s="1" t="s">
        <v>9</v>
      </c>
      <c r="D210" s="4">
        <v>8.5727770896488198E-2</v>
      </c>
      <c r="E210" s="3">
        <v>224499.44884099701</v>
      </c>
      <c r="F210" s="3">
        <f>E210/7.8</f>
        <v>28781.980620640643</v>
      </c>
      <c r="G210" s="3">
        <f>F210/2</f>
        <v>14390.990310320321</v>
      </c>
      <c r="H210" s="1" t="s">
        <v>45</v>
      </c>
      <c r="I210" s="1" t="s">
        <v>141</v>
      </c>
      <c r="J210" s="1" t="s">
        <v>142</v>
      </c>
      <c r="K210" s="1">
        <v>14.2</v>
      </c>
      <c r="L210" s="1">
        <v>2.8410000000000002</v>
      </c>
      <c r="M210" s="1" t="s">
        <v>20</v>
      </c>
      <c r="N210" s="1" t="s">
        <v>442</v>
      </c>
    </row>
    <row r="211" spans="1:14" x14ac:dyDescent="0.25">
      <c r="A211" s="1" t="s">
        <v>1839</v>
      </c>
      <c r="B211" s="1" t="s">
        <v>1609</v>
      </c>
      <c r="C211" s="1" t="s">
        <v>448</v>
      </c>
      <c r="D211" s="4">
        <v>3.00899978998443E-2</v>
      </c>
      <c r="E211" s="3">
        <v>27977.985096508201</v>
      </c>
      <c r="H211" s="1" t="s">
        <v>45</v>
      </c>
      <c r="I211" s="1" t="s">
        <v>143</v>
      </c>
      <c r="J211" s="1" t="s">
        <v>144</v>
      </c>
      <c r="K211" s="1">
        <v>7</v>
      </c>
      <c r="L211" s="1">
        <v>2.8410000000000002</v>
      </c>
      <c r="M211" s="1" t="s">
        <v>20</v>
      </c>
      <c r="N211" s="1" t="s">
        <v>442</v>
      </c>
    </row>
    <row r="212" spans="1:14" x14ac:dyDescent="0.25">
      <c r="A212" s="1" t="s">
        <v>1840</v>
      </c>
      <c r="B212" s="1" t="s">
        <v>1609</v>
      </c>
      <c r="C212" s="1" t="s">
        <v>9</v>
      </c>
      <c r="D212" s="4">
        <v>2.69280197372378E-2</v>
      </c>
      <c r="E212" s="3">
        <v>53477.309385689099</v>
      </c>
      <c r="F212" s="3">
        <f>E212/7.8</f>
        <v>6856.0653058575772</v>
      </c>
      <c r="G212" s="3">
        <f>F212/2</f>
        <v>3428.0326529287886</v>
      </c>
      <c r="H212" s="1" t="s">
        <v>213</v>
      </c>
      <c r="I212" s="1" t="s">
        <v>214</v>
      </c>
      <c r="J212" s="1" t="s">
        <v>215</v>
      </c>
      <c r="K212" s="1">
        <v>14.2</v>
      </c>
      <c r="L212" s="1">
        <v>2.734</v>
      </c>
      <c r="M212" s="1" t="s">
        <v>20</v>
      </c>
      <c r="N212" s="1" t="s">
        <v>442</v>
      </c>
    </row>
    <row r="213" spans="1:14" x14ac:dyDescent="0.25">
      <c r="A213" s="1" t="s">
        <v>1840</v>
      </c>
      <c r="B213" s="1" t="s">
        <v>1609</v>
      </c>
      <c r="C213" s="1" t="s">
        <v>448</v>
      </c>
      <c r="D213" s="4">
        <v>5.6545644383571E-2</v>
      </c>
      <c r="E213" s="3">
        <v>5908.6648959153699</v>
      </c>
      <c r="H213" s="1" t="s">
        <v>111</v>
      </c>
      <c r="I213" s="1" t="s">
        <v>65</v>
      </c>
      <c r="J213" s="1" t="s">
        <v>216</v>
      </c>
      <c r="K213" s="1">
        <v>7</v>
      </c>
      <c r="L213" s="1">
        <v>2.734</v>
      </c>
      <c r="M213" s="1" t="s">
        <v>20</v>
      </c>
      <c r="N213" s="1" t="s">
        <v>442</v>
      </c>
    </row>
    <row r="214" spans="1:14" x14ac:dyDescent="0.25">
      <c r="A214" s="1" t="s">
        <v>1841</v>
      </c>
      <c r="B214" s="1" t="s">
        <v>1609</v>
      </c>
      <c r="C214" s="1" t="s">
        <v>9</v>
      </c>
      <c r="D214" s="4">
        <v>3.8875842177902999E-2</v>
      </c>
      <c r="E214" s="3">
        <v>14534.6527619646</v>
      </c>
      <c r="F214" s="3">
        <f>E214/7.8</f>
        <v>1863.4170207646923</v>
      </c>
      <c r="G214" s="3">
        <f>F214/2</f>
        <v>931.70851038234616</v>
      </c>
      <c r="H214" s="1" t="s">
        <v>275</v>
      </c>
      <c r="I214" s="1" t="s">
        <v>276</v>
      </c>
      <c r="J214" s="1" t="s">
        <v>277</v>
      </c>
      <c r="K214" s="1">
        <v>14.2</v>
      </c>
      <c r="L214" s="1">
        <v>2.6749999999999998</v>
      </c>
      <c r="M214" s="1" t="s">
        <v>20</v>
      </c>
      <c r="N214" s="1" t="s">
        <v>442</v>
      </c>
    </row>
    <row r="215" spans="1:14" x14ac:dyDescent="0.25">
      <c r="A215" s="1" t="s">
        <v>1841</v>
      </c>
      <c r="B215" s="1" t="s">
        <v>1609</v>
      </c>
      <c r="C215" s="1" t="s">
        <v>448</v>
      </c>
      <c r="D215" s="4">
        <v>0.12599648426323901</v>
      </c>
      <c r="E215" s="3">
        <v>1134.75802539611</v>
      </c>
      <c r="H215" s="1" t="s">
        <v>150</v>
      </c>
      <c r="I215" s="1" t="s">
        <v>278</v>
      </c>
      <c r="J215" s="1" t="s">
        <v>279</v>
      </c>
      <c r="K215" s="1">
        <v>7</v>
      </c>
      <c r="L215" s="1">
        <v>2.6749999999999998</v>
      </c>
      <c r="M215" s="1" t="s">
        <v>20</v>
      </c>
      <c r="N215" s="1" t="s">
        <v>442</v>
      </c>
    </row>
    <row r="216" spans="1:14" x14ac:dyDescent="0.25">
      <c r="A216" s="1" t="s">
        <v>1842</v>
      </c>
      <c r="B216" s="1" t="s">
        <v>1609</v>
      </c>
      <c r="C216" s="1" t="s">
        <v>9</v>
      </c>
      <c r="D216" s="4">
        <v>5.6685641611113398E-2</v>
      </c>
      <c r="E216" s="3">
        <v>6151.0888976399601</v>
      </c>
      <c r="F216" s="3">
        <f>E216/7.8</f>
        <v>788.60114072307181</v>
      </c>
      <c r="G216" s="3">
        <f>F216/2</f>
        <v>394.3005703615359</v>
      </c>
      <c r="H216" s="1" t="s">
        <v>297</v>
      </c>
      <c r="I216" s="1" t="s">
        <v>298</v>
      </c>
      <c r="J216" s="1" t="s">
        <v>299</v>
      </c>
      <c r="K216" s="1">
        <v>14.2</v>
      </c>
      <c r="L216" s="1">
        <v>2.5950000000000002</v>
      </c>
      <c r="M216" s="1" t="s">
        <v>20</v>
      </c>
      <c r="N216" s="1" t="s">
        <v>442</v>
      </c>
    </row>
    <row r="217" spans="1:14" x14ac:dyDescent="0.25">
      <c r="A217" s="1" t="s">
        <v>1842</v>
      </c>
      <c r="B217" s="1" t="s">
        <v>1609</v>
      </c>
      <c r="C217" s="1" t="s">
        <v>448</v>
      </c>
      <c r="D217" s="4">
        <v>0.16390293549167101</v>
      </c>
      <c r="E217" s="3">
        <v>684.91012194746997</v>
      </c>
      <c r="H217" s="1" t="s">
        <v>38</v>
      </c>
      <c r="I217" s="1" t="s">
        <v>300</v>
      </c>
      <c r="J217" s="1" t="s">
        <v>301</v>
      </c>
      <c r="K217" s="1">
        <v>7</v>
      </c>
      <c r="L217" s="1">
        <v>2.5950000000000002</v>
      </c>
      <c r="M217" s="1" t="s">
        <v>20</v>
      </c>
      <c r="N217" s="1" t="s">
        <v>442</v>
      </c>
    </row>
    <row r="218" spans="1:14" x14ac:dyDescent="0.25">
      <c r="A218" s="1" t="s">
        <v>1843</v>
      </c>
      <c r="B218" s="1" t="s">
        <v>1609</v>
      </c>
      <c r="C218" s="1" t="s">
        <v>9</v>
      </c>
      <c r="D218" s="4">
        <v>9.8051707453124096E-2</v>
      </c>
      <c r="E218" s="3">
        <v>240119.59098235701</v>
      </c>
      <c r="F218" s="3">
        <f>E218/7.8</f>
        <v>30784.562946456026</v>
      </c>
      <c r="G218" s="3">
        <f>F218/2</f>
        <v>15392.281473228013</v>
      </c>
      <c r="H218" s="1" t="s">
        <v>347</v>
      </c>
      <c r="I218" s="1" t="s">
        <v>280</v>
      </c>
      <c r="J218" s="1" t="s">
        <v>384</v>
      </c>
      <c r="K218" s="1">
        <v>14.2</v>
      </c>
      <c r="L218" s="1">
        <v>2.7789999999999999</v>
      </c>
      <c r="M218" s="1" t="s">
        <v>20</v>
      </c>
      <c r="N218" s="1" t="s">
        <v>442</v>
      </c>
    </row>
    <row r="219" spans="1:14" x14ac:dyDescent="0.25">
      <c r="A219" s="1" t="s">
        <v>1843</v>
      </c>
      <c r="B219" s="1" t="s">
        <v>1609</v>
      </c>
      <c r="C219" s="1" t="s">
        <v>448</v>
      </c>
      <c r="D219" s="4">
        <v>2.9549317969975699E-2</v>
      </c>
      <c r="E219" s="3">
        <v>30512.311731018301</v>
      </c>
      <c r="H219" s="1" t="s">
        <v>347</v>
      </c>
      <c r="I219" s="1" t="s">
        <v>385</v>
      </c>
      <c r="J219" s="1" t="s">
        <v>386</v>
      </c>
      <c r="K219" s="1">
        <v>7</v>
      </c>
      <c r="L219" s="1">
        <v>2.7789999999999999</v>
      </c>
      <c r="M219" s="1" t="s">
        <v>20</v>
      </c>
      <c r="N219" s="1" t="s">
        <v>442</v>
      </c>
    </row>
    <row r="220" spans="1:14" x14ac:dyDescent="0.25">
      <c r="A220" s="1" t="s">
        <v>1844</v>
      </c>
      <c r="B220" s="1" t="s">
        <v>1609</v>
      </c>
      <c r="C220" s="1" t="s">
        <v>9</v>
      </c>
      <c r="D220" s="4">
        <v>2.71244435720021E-2</v>
      </c>
      <c r="E220" s="3">
        <v>46338.914698909401</v>
      </c>
      <c r="F220" s="3">
        <f>E220/7.8</f>
        <v>5940.8864998601794</v>
      </c>
      <c r="G220" s="3">
        <f>F220/2</f>
        <v>2970.4432499300897</v>
      </c>
      <c r="H220" s="1" t="s">
        <v>88</v>
      </c>
      <c r="I220" s="1" t="s">
        <v>52</v>
      </c>
      <c r="J220" s="1" t="s">
        <v>420</v>
      </c>
      <c r="K220" s="1">
        <v>14.2</v>
      </c>
      <c r="L220" s="1">
        <v>2.8610000000000002</v>
      </c>
      <c r="M220" s="1" t="s">
        <v>20</v>
      </c>
      <c r="N220" s="1" t="s">
        <v>442</v>
      </c>
    </row>
    <row r="221" spans="1:14" x14ac:dyDescent="0.25">
      <c r="A221" s="1" t="s">
        <v>1844</v>
      </c>
      <c r="B221" s="1" t="s">
        <v>1609</v>
      </c>
      <c r="C221" s="1" t="s">
        <v>448</v>
      </c>
      <c r="D221" s="4">
        <v>5.9911653084478697E-2</v>
      </c>
      <c r="E221" s="3">
        <v>4968.3078176421805</v>
      </c>
      <c r="H221" s="1" t="s">
        <v>421</v>
      </c>
      <c r="I221" s="1" t="s">
        <v>422</v>
      </c>
      <c r="J221" s="1" t="s">
        <v>423</v>
      </c>
      <c r="K221" s="1">
        <v>7</v>
      </c>
      <c r="L221" s="1">
        <v>2.8610000000000002</v>
      </c>
      <c r="M221" s="1" t="s">
        <v>20</v>
      </c>
      <c r="N221" s="1" t="s">
        <v>442</v>
      </c>
    </row>
    <row r="222" spans="1:14" x14ac:dyDescent="0.25">
      <c r="A222" s="1" t="s">
        <v>1860</v>
      </c>
      <c r="B222" s="1" t="s">
        <v>1609</v>
      </c>
      <c r="C222" s="1" t="s">
        <v>9</v>
      </c>
      <c r="D222" s="4">
        <v>2.8221842731841001E-2</v>
      </c>
      <c r="E222" s="3">
        <v>36642.327296497599</v>
      </c>
      <c r="F222" s="3">
        <f>E222/7.8</f>
        <v>4697.7342687817436</v>
      </c>
      <c r="G222" s="3">
        <f>F222/2</f>
        <v>2348.8671343908718</v>
      </c>
      <c r="H222" s="1" t="s">
        <v>76</v>
      </c>
      <c r="I222" s="1" t="s">
        <v>387</v>
      </c>
      <c r="J222" s="1" t="s">
        <v>388</v>
      </c>
      <c r="K222" s="1">
        <v>14.2</v>
      </c>
      <c r="L222" s="1">
        <v>2.8079999999999998</v>
      </c>
      <c r="M222" s="1" t="s">
        <v>20</v>
      </c>
      <c r="N222" s="1" t="s">
        <v>442</v>
      </c>
    </row>
    <row r="223" spans="1:14" x14ac:dyDescent="0.25">
      <c r="A223" s="1" t="s">
        <v>1860</v>
      </c>
      <c r="B223" s="1" t="s">
        <v>1609</v>
      </c>
      <c r="C223" s="1" t="s">
        <v>448</v>
      </c>
      <c r="D223" s="4">
        <v>6.5117445272569893E-2</v>
      </c>
      <c r="E223" s="3">
        <v>4228.5030231369101</v>
      </c>
      <c r="H223" s="1" t="s">
        <v>150</v>
      </c>
      <c r="I223" s="1" t="s">
        <v>389</v>
      </c>
      <c r="J223" s="1" t="s">
        <v>390</v>
      </c>
      <c r="K223" s="1">
        <v>7</v>
      </c>
      <c r="L223" s="1">
        <v>2.8079999999999998</v>
      </c>
      <c r="M223" s="1" t="s">
        <v>20</v>
      </c>
      <c r="N223" s="1" t="s">
        <v>442</v>
      </c>
    </row>
    <row r="224" spans="1:14" x14ac:dyDescent="0.25">
      <c r="A224" s="1" t="s">
        <v>1861</v>
      </c>
      <c r="B224" s="1" t="s">
        <v>1609</v>
      </c>
      <c r="C224" s="1" t="s">
        <v>9</v>
      </c>
      <c r="D224" s="4">
        <v>2.8139917350311901E-2</v>
      </c>
      <c r="E224" s="3">
        <v>91883.982247181295</v>
      </c>
      <c r="F224" s="3">
        <f>E224/7.8</f>
        <v>11779.997723997601</v>
      </c>
      <c r="G224" s="3">
        <f>F224/2</f>
        <v>5889.9988619988007</v>
      </c>
      <c r="H224" s="1" t="s">
        <v>302</v>
      </c>
      <c r="I224" s="1" t="s">
        <v>303</v>
      </c>
      <c r="J224" s="1" t="s">
        <v>304</v>
      </c>
      <c r="K224" s="1">
        <v>14.2</v>
      </c>
      <c r="L224" s="1">
        <v>2.5840000000000001</v>
      </c>
      <c r="M224" s="1" t="s">
        <v>20</v>
      </c>
      <c r="N224" s="1" t="s">
        <v>442</v>
      </c>
    </row>
    <row r="225" spans="1:14" x14ac:dyDescent="0.25">
      <c r="A225" s="1" t="s">
        <v>1861</v>
      </c>
      <c r="B225" s="1" t="s">
        <v>1609</v>
      </c>
      <c r="C225" s="1" t="s">
        <v>448</v>
      </c>
      <c r="D225" s="4">
        <v>4.46570438821456E-2</v>
      </c>
      <c r="E225" s="3">
        <v>10587.819193723501</v>
      </c>
      <c r="H225" s="1" t="s">
        <v>305</v>
      </c>
      <c r="I225" s="1" t="s">
        <v>306</v>
      </c>
      <c r="J225" s="1" t="s">
        <v>307</v>
      </c>
      <c r="K225" s="1">
        <v>7</v>
      </c>
      <c r="L225" s="1">
        <v>2.5840000000000001</v>
      </c>
      <c r="M225" s="1" t="s">
        <v>20</v>
      </c>
      <c r="N225" s="1" t="s">
        <v>442</v>
      </c>
    </row>
    <row r="226" spans="1:14" x14ac:dyDescent="0.25">
      <c r="A226" s="1" t="s">
        <v>1862</v>
      </c>
      <c r="B226" s="1" t="s">
        <v>1609</v>
      </c>
      <c r="C226" s="1" t="s">
        <v>9</v>
      </c>
      <c r="D226" s="4">
        <v>5.6736430175009601E-2</v>
      </c>
      <c r="E226" s="3">
        <v>191066.43341431799</v>
      </c>
      <c r="F226" s="3">
        <f>E226/7.8</f>
        <v>24495.696591579228</v>
      </c>
      <c r="G226" s="3">
        <f>F226/2</f>
        <v>12247.848295789614</v>
      </c>
      <c r="H226" s="1" t="s">
        <v>280</v>
      </c>
      <c r="I226" s="1" t="s">
        <v>228</v>
      </c>
      <c r="J226" s="1" t="s">
        <v>281</v>
      </c>
      <c r="K226" s="1">
        <v>14.2</v>
      </c>
      <c r="L226" s="1">
        <v>2.762</v>
      </c>
      <c r="M226" s="1" t="s">
        <v>20</v>
      </c>
      <c r="N226" s="1" t="s">
        <v>442</v>
      </c>
    </row>
    <row r="227" spans="1:14" x14ac:dyDescent="0.25">
      <c r="A227" s="1" t="s">
        <v>1862</v>
      </c>
      <c r="B227" s="1" t="s">
        <v>1609</v>
      </c>
      <c r="C227" s="1" t="s">
        <v>448</v>
      </c>
      <c r="D227" s="4">
        <v>3.3026242966484202E-2</v>
      </c>
      <c r="E227" s="3">
        <v>21377.290235262499</v>
      </c>
      <c r="H227" s="1" t="s">
        <v>280</v>
      </c>
      <c r="I227" s="1" t="s">
        <v>282</v>
      </c>
      <c r="J227" s="1" t="s">
        <v>283</v>
      </c>
      <c r="K227" s="1">
        <v>7</v>
      </c>
      <c r="L227" s="1">
        <v>2.762</v>
      </c>
      <c r="M227" s="1" t="s">
        <v>20</v>
      </c>
      <c r="N227" s="1" t="s">
        <v>442</v>
      </c>
    </row>
    <row r="228" spans="1:14" x14ac:dyDescent="0.25">
      <c r="A228" s="1" t="s">
        <v>1863</v>
      </c>
      <c r="B228" s="1" t="s">
        <v>1609</v>
      </c>
      <c r="C228" s="1" t="s">
        <v>9</v>
      </c>
      <c r="D228" s="4">
        <v>4.11773315212067E-2</v>
      </c>
      <c r="E228" s="3">
        <v>11845.311843489701</v>
      </c>
      <c r="F228" s="3">
        <f>E228/7.8</f>
        <v>1518.6297235243205</v>
      </c>
      <c r="G228" s="3">
        <f>F228/2</f>
        <v>759.31486176216026</v>
      </c>
      <c r="H228" s="1" t="s">
        <v>217</v>
      </c>
      <c r="I228" s="1" t="s">
        <v>218</v>
      </c>
      <c r="J228" s="1" t="s">
        <v>219</v>
      </c>
      <c r="K228" s="1">
        <v>14.2</v>
      </c>
      <c r="L228" s="1">
        <v>2.8109999999999999</v>
      </c>
      <c r="M228" s="1" t="s">
        <v>20</v>
      </c>
      <c r="N228" s="1" t="s">
        <v>442</v>
      </c>
    </row>
    <row r="229" spans="1:14" x14ac:dyDescent="0.25">
      <c r="A229" s="1" t="s">
        <v>1863</v>
      </c>
      <c r="B229" s="1" t="s">
        <v>1609</v>
      </c>
      <c r="C229" s="1" t="s">
        <v>448</v>
      </c>
      <c r="D229" s="4">
        <v>0.10583676133376101</v>
      </c>
      <c r="E229" s="3">
        <v>1541.73528610373</v>
      </c>
      <c r="H229" s="1" t="s">
        <v>82</v>
      </c>
      <c r="I229" s="1" t="s">
        <v>220</v>
      </c>
      <c r="J229" s="1" t="s">
        <v>221</v>
      </c>
      <c r="K229" s="1">
        <v>7</v>
      </c>
      <c r="L229" s="1">
        <v>2.8109999999999999</v>
      </c>
      <c r="M229" s="1" t="s">
        <v>20</v>
      </c>
      <c r="N229" s="1" t="s">
        <v>442</v>
      </c>
    </row>
    <row r="230" spans="1:14" x14ac:dyDescent="0.25">
      <c r="A230" s="1" t="s">
        <v>1864</v>
      </c>
      <c r="B230" s="1" t="s">
        <v>1609</v>
      </c>
      <c r="C230" s="1" t="s">
        <v>9</v>
      </c>
      <c r="D230" s="4">
        <v>4.1994877250578197E-2</v>
      </c>
      <c r="E230" s="3">
        <v>11654.7208541134</v>
      </c>
      <c r="F230" s="3">
        <f>E230/7.8</f>
        <v>1494.1949812965897</v>
      </c>
      <c r="G230" s="3">
        <f>F230/2</f>
        <v>747.09749064829487</v>
      </c>
      <c r="H230" s="1" t="s">
        <v>145</v>
      </c>
      <c r="I230" s="1" t="s">
        <v>146</v>
      </c>
      <c r="J230" s="1" t="s">
        <v>147</v>
      </c>
      <c r="K230" s="1">
        <v>14.2</v>
      </c>
      <c r="L230" s="1">
        <v>2.718</v>
      </c>
      <c r="M230" s="1" t="s">
        <v>20</v>
      </c>
      <c r="N230" s="1" t="s">
        <v>442</v>
      </c>
    </row>
    <row r="231" spans="1:14" x14ac:dyDescent="0.25">
      <c r="A231" s="1" t="s">
        <v>1864</v>
      </c>
      <c r="B231" s="1" t="s">
        <v>1609</v>
      </c>
      <c r="C231" s="1" t="s">
        <v>448</v>
      </c>
      <c r="D231" s="4">
        <v>0.400076294451152</v>
      </c>
      <c r="E231" s="3">
        <v>109.233493574847</v>
      </c>
      <c r="H231" s="1" t="s">
        <v>130</v>
      </c>
      <c r="I231" s="1" t="s">
        <v>148</v>
      </c>
      <c r="J231" s="1" t="s">
        <v>149</v>
      </c>
      <c r="K231" s="1">
        <v>7</v>
      </c>
      <c r="L231" s="1">
        <v>2.718</v>
      </c>
      <c r="M231" s="1" t="s">
        <v>20</v>
      </c>
      <c r="N231" s="1" t="s">
        <v>442</v>
      </c>
    </row>
    <row r="232" spans="1:14" x14ac:dyDescent="0.25">
      <c r="A232" s="1" t="s">
        <v>1865</v>
      </c>
      <c r="B232" s="1" t="s">
        <v>1609</v>
      </c>
      <c r="C232" s="1" t="s">
        <v>9</v>
      </c>
      <c r="D232" s="4">
        <v>4.1893318617383102E-2</v>
      </c>
      <c r="E232" s="3">
        <v>11416.526230436601</v>
      </c>
      <c r="F232" s="3">
        <f>E232/7.8</f>
        <v>1463.6572090303334</v>
      </c>
      <c r="G232" s="3">
        <f>F232/2</f>
        <v>731.82860451516672</v>
      </c>
      <c r="H232" s="1" t="s">
        <v>50</v>
      </c>
      <c r="I232" s="1" t="s">
        <v>51</v>
      </c>
      <c r="J232" s="1" t="s">
        <v>52</v>
      </c>
      <c r="K232" s="1">
        <v>14.2</v>
      </c>
      <c r="L232" s="1">
        <v>2.8010000000000002</v>
      </c>
      <c r="M232" s="1" t="s">
        <v>20</v>
      </c>
      <c r="N232" s="1" t="s">
        <v>442</v>
      </c>
    </row>
    <row r="233" spans="1:14" x14ac:dyDescent="0.25">
      <c r="A233" s="1" t="s">
        <v>1865</v>
      </c>
      <c r="B233" s="1" t="s">
        <v>1609</v>
      </c>
      <c r="C233" s="1" t="s">
        <v>448</v>
      </c>
      <c r="D233" s="4">
        <v>0.12758784449051599</v>
      </c>
      <c r="E233" s="3">
        <v>1057.6189272691299</v>
      </c>
      <c r="H233" s="1" t="s">
        <v>53</v>
      </c>
      <c r="I233" s="1" t="s">
        <v>54</v>
      </c>
      <c r="J233" s="1" t="s">
        <v>55</v>
      </c>
      <c r="K233" s="1">
        <v>7</v>
      </c>
      <c r="L233" s="1">
        <v>2.8010000000000002</v>
      </c>
      <c r="M233" s="1" t="s">
        <v>20</v>
      </c>
      <c r="N233" s="1" t="s">
        <v>442</v>
      </c>
    </row>
    <row r="234" spans="1:14" x14ac:dyDescent="0.25">
      <c r="A234" s="1" t="s">
        <v>1878</v>
      </c>
      <c r="B234" s="1" t="s">
        <v>1609</v>
      </c>
      <c r="C234" s="1" t="s">
        <v>9</v>
      </c>
      <c r="D234" s="4">
        <v>2.9812121131074901E-2</v>
      </c>
      <c r="E234" s="3">
        <v>29323.717470311301</v>
      </c>
      <c r="F234" s="3">
        <f>E234/7.8</f>
        <v>3759.4509577322183</v>
      </c>
      <c r="G234" s="3">
        <f>F234/2</f>
        <v>1879.7254788661091</v>
      </c>
      <c r="H234" s="1" t="s">
        <v>56</v>
      </c>
      <c r="I234" s="1" t="s">
        <v>292</v>
      </c>
      <c r="J234" s="1" t="s">
        <v>424</v>
      </c>
      <c r="K234" s="1">
        <v>14.2</v>
      </c>
      <c r="L234" s="1">
        <v>2.7890000000000001</v>
      </c>
      <c r="M234" s="1" t="s">
        <v>20</v>
      </c>
      <c r="N234" s="1" t="s">
        <v>442</v>
      </c>
    </row>
    <row r="235" spans="1:14" x14ac:dyDescent="0.25">
      <c r="A235" s="1" t="s">
        <v>1878</v>
      </c>
      <c r="B235" s="1" t="s">
        <v>1609</v>
      </c>
      <c r="C235" s="1" t="s">
        <v>448</v>
      </c>
      <c r="D235" s="4">
        <v>6.9674826473820298E-2</v>
      </c>
      <c r="E235" s="3">
        <v>3685.0903021232202</v>
      </c>
      <c r="H235" s="1" t="s">
        <v>207</v>
      </c>
      <c r="I235" s="1" t="s">
        <v>425</v>
      </c>
      <c r="J235" s="1" t="s">
        <v>426</v>
      </c>
      <c r="K235" s="1">
        <v>7</v>
      </c>
      <c r="L235" s="1">
        <v>2.7890000000000001</v>
      </c>
      <c r="M235" s="1" t="s">
        <v>20</v>
      </c>
      <c r="N235" s="1" t="s">
        <v>442</v>
      </c>
    </row>
    <row r="236" spans="1:14" x14ac:dyDescent="0.25">
      <c r="A236" s="1" t="s">
        <v>1889</v>
      </c>
      <c r="B236" s="1" t="s">
        <v>1609</v>
      </c>
      <c r="C236" s="1" t="s">
        <v>9</v>
      </c>
      <c r="D236" s="4">
        <v>4.2799826083119497E-2</v>
      </c>
      <c r="E236" s="3">
        <v>1629664.5965118499</v>
      </c>
      <c r="F236" s="3">
        <f>E236/7.8</f>
        <v>208931.35852716025</v>
      </c>
      <c r="G236" s="3">
        <f>F236/2</f>
        <v>104465.67926358012</v>
      </c>
      <c r="H236" s="1" t="s">
        <v>222</v>
      </c>
      <c r="I236" s="1" t="s">
        <v>223</v>
      </c>
      <c r="J236" s="1" t="s">
        <v>224</v>
      </c>
      <c r="K236" s="1">
        <v>14.2</v>
      </c>
      <c r="L236" s="1">
        <v>2.6749999999999998</v>
      </c>
      <c r="M236" s="1">
        <v>10</v>
      </c>
      <c r="N236" s="1" t="s">
        <v>442</v>
      </c>
    </row>
    <row r="237" spans="1:14" x14ac:dyDescent="0.25">
      <c r="A237" s="1" t="s">
        <v>1889</v>
      </c>
      <c r="B237" s="1" t="s">
        <v>1609</v>
      </c>
      <c r="C237" s="1" t="s">
        <v>448</v>
      </c>
      <c r="D237" s="4">
        <v>3.23623701351404E-2</v>
      </c>
      <c r="E237" s="3">
        <v>232850.46623367301</v>
      </c>
      <c r="H237" s="1" t="s">
        <v>222</v>
      </c>
      <c r="I237" s="1" t="s">
        <v>225</v>
      </c>
      <c r="J237" s="1" t="s">
        <v>226</v>
      </c>
      <c r="K237" s="1">
        <v>7</v>
      </c>
      <c r="L237" s="1">
        <v>2.6749999999999998</v>
      </c>
      <c r="M237" s="1">
        <v>10</v>
      </c>
      <c r="N237" s="1" t="s">
        <v>442</v>
      </c>
    </row>
    <row r="238" spans="1:14" x14ac:dyDescent="0.25">
      <c r="A238" s="1" t="s">
        <v>1901</v>
      </c>
      <c r="B238" s="1" t="s">
        <v>1609</v>
      </c>
      <c r="C238" s="1" t="s">
        <v>9</v>
      </c>
      <c r="D238" s="4">
        <v>2.7405649026741401E-2</v>
      </c>
      <c r="E238" s="3">
        <v>4582233.9909706302</v>
      </c>
      <c r="F238" s="3">
        <f>E238/7.8</f>
        <v>587465.89627828589</v>
      </c>
      <c r="G238" s="3">
        <f>F238/2</f>
        <v>293732.94813914294</v>
      </c>
      <c r="H238" s="1" t="s">
        <v>329</v>
      </c>
      <c r="I238" s="1" t="s">
        <v>330</v>
      </c>
      <c r="J238" s="1" t="s">
        <v>331</v>
      </c>
      <c r="K238" s="1">
        <v>14.2</v>
      </c>
      <c r="L238" s="1">
        <v>2.6230000000000002</v>
      </c>
      <c r="M238" s="1">
        <v>100</v>
      </c>
      <c r="N238" s="1" t="s">
        <v>442</v>
      </c>
    </row>
    <row r="239" spans="1:14" x14ac:dyDescent="0.25">
      <c r="A239" s="1" t="s">
        <v>1901</v>
      </c>
      <c r="B239" s="1" t="s">
        <v>1609</v>
      </c>
      <c r="C239" s="1" t="s">
        <v>448</v>
      </c>
      <c r="D239" s="4">
        <v>6.2747265288258802E-2</v>
      </c>
      <c r="E239" s="3">
        <v>488639.307128435</v>
      </c>
      <c r="H239" s="1" t="s">
        <v>67</v>
      </c>
      <c r="I239" s="1" t="s">
        <v>332</v>
      </c>
      <c r="J239" s="1" t="s">
        <v>333</v>
      </c>
      <c r="K239" s="1">
        <v>7</v>
      </c>
      <c r="L239" s="1">
        <v>2.6230000000000002</v>
      </c>
      <c r="M239" s="1">
        <v>100</v>
      </c>
      <c r="N239" s="1" t="s">
        <v>442</v>
      </c>
    </row>
    <row r="240" spans="1:14" x14ac:dyDescent="0.25">
      <c r="A240" s="1" t="s">
        <v>1912</v>
      </c>
      <c r="B240" s="1" t="s">
        <v>1609</v>
      </c>
      <c r="C240" s="1" t="s">
        <v>9</v>
      </c>
      <c r="D240" s="4">
        <v>2.9011196930607899E-2</v>
      </c>
      <c r="E240" s="3">
        <v>328178.70324980997</v>
      </c>
      <c r="F240" s="3">
        <f>E240/7.8</f>
        <v>42074.192724334614</v>
      </c>
      <c r="G240" s="3">
        <f>F240/2</f>
        <v>21037.096362167307</v>
      </c>
      <c r="H240" s="1" t="s">
        <v>17</v>
      </c>
      <c r="I240" s="1" t="s">
        <v>352</v>
      </c>
      <c r="J240" s="1" t="s">
        <v>353</v>
      </c>
      <c r="K240" s="1">
        <v>14.2</v>
      </c>
      <c r="L240" s="1">
        <v>2.7749999999999999</v>
      </c>
      <c r="M240" s="1">
        <v>10</v>
      </c>
      <c r="N240" s="1" t="s">
        <v>442</v>
      </c>
    </row>
    <row r="241" spans="1:14" x14ac:dyDescent="0.25">
      <c r="A241" s="1" t="s">
        <v>1912</v>
      </c>
      <c r="B241" s="1" t="s">
        <v>1609</v>
      </c>
      <c r="C241" s="1" t="s">
        <v>448</v>
      </c>
      <c r="D241" s="4">
        <v>6.3563756729426699E-2</v>
      </c>
      <c r="E241" s="3">
        <v>45051.816798341897</v>
      </c>
      <c r="H241" s="1" t="s">
        <v>62</v>
      </c>
      <c r="I241" s="1" t="s">
        <v>354</v>
      </c>
      <c r="J241" s="1" t="s">
        <v>355</v>
      </c>
      <c r="K241" s="1">
        <v>7</v>
      </c>
      <c r="L241" s="1">
        <v>2.7749999999999999</v>
      </c>
      <c r="M241" s="1">
        <v>10</v>
      </c>
      <c r="N241" s="1" t="s">
        <v>442</v>
      </c>
    </row>
    <row r="242" spans="1:14" x14ac:dyDescent="0.25">
      <c r="A242" s="1" t="s">
        <v>1916</v>
      </c>
      <c r="B242" s="1" t="s">
        <v>1609</v>
      </c>
      <c r="C242" s="1" t="s">
        <v>9</v>
      </c>
      <c r="D242" s="4">
        <v>3.0213886393444599E-2</v>
      </c>
      <c r="E242" s="3">
        <v>29435.088607846701</v>
      </c>
      <c r="F242" s="3">
        <f>E242/7.8</f>
        <v>3773.729308698295</v>
      </c>
      <c r="G242" s="3">
        <f>F242/2</f>
        <v>1886.8646543491475</v>
      </c>
      <c r="H242" s="1" t="s">
        <v>35</v>
      </c>
      <c r="I242" s="1" t="s">
        <v>369</v>
      </c>
      <c r="J242" s="1" t="s">
        <v>370</v>
      </c>
      <c r="K242" s="1">
        <v>14.2</v>
      </c>
      <c r="L242" s="1">
        <v>2.6360000000000001</v>
      </c>
      <c r="M242" s="1" t="s">
        <v>20</v>
      </c>
      <c r="N242" s="1" t="s">
        <v>442</v>
      </c>
    </row>
    <row r="243" spans="1:14" x14ac:dyDescent="0.25">
      <c r="A243" s="1" t="s">
        <v>1916</v>
      </c>
      <c r="B243" s="1" t="s">
        <v>1609</v>
      </c>
      <c r="C243" s="1" t="s">
        <v>448</v>
      </c>
      <c r="D243" s="4">
        <v>8.0984416100724696E-2</v>
      </c>
      <c r="E243" s="3">
        <v>2837.5925885944098</v>
      </c>
      <c r="H243" s="1" t="s">
        <v>35</v>
      </c>
      <c r="I243" s="1" t="s">
        <v>371</v>
      </c>
      <c r="J243" s="1" t="s">
        <v>372</v>
      </c>
      <c r="K243" s="1">
        <v>7</v>
      </c>
      <c r="L243" s="1">
        <v>2.6360000000000001</v>
      </c>
      <c r="M243" s="1" t="s">
        <v>20</v>
      </c>
      <c r="N243" s="1" t="s">
        <v>442</v>
      </c>
    </row>
    <row r="244" spans="1:14" x14ac:dyDescent="0.25">
      <c r="A244" s="1" t="s">
        <v>1917</v>
      </c>
      <c r="B244" s="1" t="s">
        <v>1609</v>
      </c>
      <c r="C244" s="1" t="s">
        <v>9</v>
      </c>
      <c r="D244" s="4">
        <v>2.9093004382406099E-2</v>
      </c>
      <c r="E244" s="3">
        <v>33279.130361069801</v>
      </c>
      <c r="F244" s="3">
        <f>E244/7.8</f>
        <v>4266.5551744961285</v>
      </c>
      <c r="G244" s="3">
        <f>F244/2</f>
        <v>2133.2775872480643</v>
      </c>
      <c r="H244" s="1" t="s">
        <v>347</v>
      </c>
      <c r="I244" s="1" t="s">
        <v>348</v>
      </c>
      <c r="J244" s="1" t="s">
        <v>349</v>
      </c>
      <c r="K244" s="1">
        <v>14.2</v>
      </c>
      <c r="L244" s="1">
        <v>2.7080000000000002</v>
      </c>
      <c r="M244" s="1" t="s">
        <v>20</v>
      </c>
      <c r="N244" s="1" t="s">
        <v>442</v>
      </c>
    </row>
    <row r="245" spans="1:14" x14ac:dyDescent="0.25">
      <c r="A245" s="1" t="s">
        <v>1917</v>
      </c>
      <c r="B245" s="1" t="s">
        <v>1609</v>
      </c>
      <c r="C245" s="1" t="s">
        <v>448</v>
      </c>
      <c r="D245" s="4">
        <v>7.0207891920819998E-2</v>
      </c>
      <c r="E245" s="3">
        <v>3741.5233525940398</v>
      </c>
      <c r="H245" s="1" t="s">
        <v>133</v>
      </c>
      <c r="I245" s="1" t="s">
        <v>350</v>
      </c>
      <c r="J245" s="1" t="s">
        <v>351</v>
      </c>
      <c r="K245" s="1">
        <v>7</v>
      </c>
      <c r="L245" s="1">
        <v>2.7080000000000002</v>
      </c>
      <c r="M245" s="1" t="s">
        <v>20</v>
      </c>
      <c r="N245" s="1" t="s">
        <v>442</v>
      </c>
    </row>
    <row r="246" spans="1:14" x14ac:dyDescent="0.25">
      <c r="A246" s="1" t="s">
        <v>1919</v>
      </c>
      <c r="B246" s="1" t="s">
        <v>1609</v>
      </c>
      <c r="C246" s="1" t="s">
        <v>9</v>
      </c>
      <c r="D246" s="4">
        <v>3.7382157609580101E-2</v>
      </c>
      <c r="E246" s="3">
        <v>16509.673491201502</v>
      </c>
      <c r="F246" s="3">
        <f>E246/7.8</f>
        <v>2116.6248065642953</v>
      </c>
      <c r="G246" s="3">
        <f>F246/2</f>
        <v>1058.3124032821477</v>
      </c>
      <c r="H246" s="1" t="s">
        <v>195</v>
      </c>
      <c r="I246" s="1" t="s">
        <v>196</v>
      </c>
      <c r="J246" s="1" t="s">
        <v>197</v>
      </c>
      <c r="K246" s="1">
        <v>14.2</v>
      </c>
      <c r="L246" s="1">
        <v>2.5960000000000001</v>
      </c>
      <c r="M246" s="1" t="s">
        <v>20</v>
      </c>
      <c r="N246" s="1" t="s">
        <v>442</v>
      </c>
    </row>
    <row r="247" spans="1:14" x14ac:dyDescent="0.25">
      <c r="A247" s="1" t="s">
        <v>1919</v>
      </c>
      <c r="B247" s="1" t="s">
        <v>1609</v>
      </c>
      <c r="C247" s="1" t="s">
        <v>448</v>
      </c>
      <c r="D247" s="4">
        <v>0.15258604947982901</v>
      </c>
      <c r="E247" s="3">
        <v>792.39424240476205</v>
      </c>
      <c r="H247" s="1" t="s">
        <v>198</v>
      </c>
      <c r="I247" s="1" t="s">
        <v>199</v>
      </c>
      <c r="J247" s="1" t="s">
        <v>200</v>
      </c>
      <c r="K247" s="1">
        <v>7</v>
      </c>
      <c r="L247" s="1">
        <v>2.5960000000000001</v>
      </c>
      <c r="M247" s="1" t="s">
        <v>20</v>
      </c>
      <c r="N247" s="1" t="s">
        <v>442</v>
      </c>
    </row>
    <row r="248" spans="1:14" x14ac:dyDescent="0.25">
      <c r="A248" s="1" t="s">
        <v>1920</v>
      </c>
      <c r="B248" s="1" t="s">
        <v>1609</v>
      </c>
      <c r="C248" s="1" t="s">
        <v>9</v>
      </c>
      <c r="D248" s="4">
        <v>3.4980158792982899E-2</v>
      </c>
      <c r="E248" s="3">
        <v>19014.675598824</v>
      </c>
      <c r="F248" s="3">
        <f>E248/7.8</f>
        <v>2437.7789229261539</v>
      </c>
      <c r="G248" s="3">
        <f>F248/2</f>
        <v>1218.8894614630769</v>
      </c>
      <c r="H248" s="1" t="s">
        <v>11</v>
      </c>
      <c r="I248" s="1" t="s">
        <v>119</v>
      </c>
      <c r="J248" s="1" t="s">
        <v>120</v>
      </c>
      <c r="K248" s="1">
        <v>14.2</v>
      </c>
      <c r="L248" s="1">
        <v>2.6440000000000001</v>
      </c>
      <c r="M248" s="1" t="s">
        <v>20</v>
      </c>
      <c r="N248" s="1" t="s">
        <v>442</v>
      </c>
    </row>
    <row r="249" spans="1:14" x14ac:dyDescent="0.25">
      <c r="A249" s="1" t="s">
        <v>1920</v>
      </c>
      <c r="B249" s="1" t="s">
        <v>1609</v>
      </c>
      <c r="C249" s="1" t="s">
        <v>448</v>
      </c>
      <c r="D249" s="4">
        <v>0.14219442791637399</v>
      </c>
      <c r="E249" s="3">
        <v>894.97011898674305</v>
      </c>
      <c r="H249" s="1" t="s">
        <v>121</v>
      </c>
      <c r="I249" s="1" t="s">
        <v>122</v>
      </c>
      <c r="J249" s="1" t="s">
        <v>123</v>
      </c>
      <c r="K249" s="1">
        <v>7</v>
      </c>
      <c r="L249" s="1">
        <v>2.6440000000000001</v>
      </c>
      <c r="M249" s="1" t="s">
        <v>20</v>
      </c>
      <c r="N249" s="1" t="s">
        <v>442</v>
      </c>
    </row>
    <row r="250" spans="1:14" x14ac:dyDescent="0.25">
      <c r="A250" s="1" t="s">
        <v>1921</v>
      </c>
      <c r="B250" s="1" t="s">
        <v>1609</v>
      </c>
      <c r="C250" s="1" t="s">
        <v>9</v>
      </c>
      <c r="D250" s="4">
        <v>7.6430184933615197E-2</v>
      </c>
      <c r="E250" s="3">
        <v>3123.7133992628201</v>
      </c>
      <c r="F250" s="3">
        <f>E250/7.8</f>
        <v>400.4760768285667</v>
      </c>
      <c r="G250" s="3">
        <f>F250/2</f>
        <v>200.23803841428335</v>
      </c>
      <c r="H250" s="1" t="s">
        <v>67</v>
      </c>
      <c r="I250" s="1" t="s">
        <v>68</v>
      </c>
      <c r="J250" s="1" t="s">
        <v>69</v>
      </c>
      <c r="K250" s="1">
        <v>14.2</v>
      </c>
      <c r="L250" s="1">
        <v>2.706</v>
      </c>
      <c r="M250" s="1" t="s">
        <v>20</v>
      </c>
      <c r="N250" s="1" t="s">
        <v>442</v>
      </c>
    </row>
    <row r="251" spans="1:14" x14ac:dyDescent="0.25">
      <c r="A251" s="1" t="s">
        <v>1921</v>
      </c>
      <c r="B251" s="1" t="s">
        <v>1609</v>
      </c>
      <c r="C251" s="1" t="s">
        <v>448</v>
      </c>
      <c r="D251" s="4">
        <v>0.203240234019397</v>
      </c>
      <c r="E251" s="3">
        <v>426.11603158438101</v>
      </c>
      <c r="H251" s="1" t="s">
        <v>67</v>
      </c>
      <c r="I251" s="1" t="s">
        <v>70</v>
      </c>
      <c r="J251" s="1" t="s">
        <v>32</v>
      </c>
      <c r="K251" s="1">
        <v>7</v>
      </c>
      <c r="L251" s="1">
        <v>2.706</v>
      </c>
      <c r="M251" s="1" t="s">
        <v>20</v>
      </c>
      <c r="N251" s="1" t="s">
        <v>442</v>
      </c>
    </row>
    <row r="252" spans="1:14" x14ac:dyDescent="0.25">
      <c r="A252" s="1" t="s">
        <v>1923</v>
      </c>
      <c r="B252" s="1" t="s">
        <v>1609</v>
      </c>
      <c r="C252" s="1" t="s">
        <v>9</v>
      </c>
      <c r="D252" s="4">
        <v>2.7463495317430101E-2</v>
      </c>
      <c r="E252" s="3">
        <v>437561.33671688702</v>
      </c>
      <c r="F252" s="3">
        <f>E252/7.8</f>
        <v>56097.607271395769</v>
      </c>
      <c r="G252" s="3">
        <f>F252/2</f>
        <v>28048.803635697885</v>
      </c>
      <c r="H252" s="1" t="s">
        <v>149</v>
      </c>
      <c r="I252" s="1" t="s">
        <v>427</v>
      </c>
      <c r="J252" s="1" t="s">
        <v>428</v>
      </c>
      <c r="K252" s="1">
        <v>14.2</v>
      </c>
      <c r="L252" s="1">
        <v>2.7639999999999998</v>
      </c>
      <c r="M252" s="1">
        <v>10</v>
      </c>
      <c r="N252" s="1" t="s">
        <v>442</v>
      </c>
    </row>
    <row r="253" spans="1:14" x14ac:dyDescent="0.25">
      <c r="A253" s="1" t="s">
        <v>1923</v>
      </c>
      <c r="B253" s="1" t="s">
        <v>1609</v>
      </c>
      <c r="C253" s="1" t="s">
        <v>448</v>
      </c>
      <c r="D253" s="4">
        <v>5.7115092829549602E-2</v>
      </c>
      <c r="E253" s="3">
        <v>57125.192004614801</v>
      </c>
      <c r="H253" s="1" t="s">
        <v>358</v>
      </c>
      <c r="I253" s="1" t="s">
        <v>429</v>
      </c>
      <c r="J253" s="1" t="s">
        <v>430</v>
      </c>
      <c r="K253" s="1">
        <v>7</v>
      </c>
      <c r="L253" s="1">
        <v>2.7639999999999998</v>
      </c>
      <c r="M253" s="1">
        <v>10</v>
      </c>
      <c r="N253" s="1" t="s">
        <v>442</v>
      </c>
    </row>
    <row r="254" spans="1:14" x14ac:dyDescent="0.25">
      <c r="A254" s="1" t="s">
        <v>1953</v>
      </c>
      <c r="B254" s="1" t="s">
        <v>1609</v>
      </c>
      <c r="C254" s="1" t="s">
        <v>9</v>
      </c>
      <c r="D254" s="4">
        <v>2.9821149229369199E-2</v>
      </c>
      <c r="E254" s="3">
        <v>2945205.3409021501</v>
      </c>
      <c r="F254" s="3">
        <f>E254/7.8</f>
        <v>377590.42832078849</v>
      </c>
      <c r="G254" s="3">
        <f>F254/2</f>
        <v>188795.21416039424</v>
      </c>
      <c r="H254" s="1" t="s">
        <v>103</v>
      </c>
      <c r="I254" s="1" t="s">
        <v>104</v>
      </c>
      <c r="J254" s="1" t="s">
        <v>105</v>
      </c>
      <c r="K254" s="1">
        <v>14.2</v>
      </c>
      <c r="L254" s="1">
        <v>2.7639999999999998</v>
      </c>
      <c r="M254" s="1">
        <v>100</v>
      </c>
      <c r="N254" s="1" t="s">
        <v>442</v>
      </c>
    </row>
    <row r="255" spans="1:14" x14ac:dyDescent="0.25">
      <c r="A255" s="1" t="s">
        <v>1953</v>
      </c>
      <c r="B255" s="1" t="s">
        <v>1609</v>
      </c>
      <c r="C255" s="1" t="s">
        <v>448</v>
      </c>
      <c r="D255" s="4">
        <v>6.8686356153559197E-2</v>
      </c>
      <c r="E255" s="3">
        <v>382440.73217451602</v>
      </c>
      <c r="H255" s="1" t="s">
        <v>38</v>
      </c>
      <c r="I255" s="1" t="s">
        <v>106</v>
      </c>
      <c r="J255" s="1" t="s">
        <v>107</v>
      </c>
      <c r="K255" s="1">
        <v>7</v>
      </c>
      <c r="L255" s="1">
        <v>2.7639999999999998</v>
      </c>
      <c r="M255" s="1">
        <v>100</v>
      </c>
      <c r="N255" s="1" t="s">
        <v>442</v>
      </c>
    </row>
    <row r="256" spans="1:14" x14ac:dyDescent="0.25">
      <c r="A256" s="1" t="s">
        <v>1960</v>
      </c>
      <c r="B256" s="1" t="s">
        <v>1609</v>
      </c>
      <c r="C256" s="1" t="s">
        <v>9</v>
      </c>
      <c r="D256" s="4">
        <v>2.7063300776576898E-2</v>
      </c>
      <c r="E256" s="3">
        <v>7230114.5857792702</v>
      </c>
      <c r="F256" s="3">
        <f>E256/7.8</f>
        <v>926937.76740759879</v>
      </c>
      <c r="G256" s="3">
        <f>F256/2</f>
        <v>463468.88370379939</v>
      </c>
      <c r="H256" s="1" t="s">
        <v>329</v>
      </c>
      <c r="I256" s="1" t="s">
        <v>431</v>
      </c>
      <c r="J256" s="1" t="s">
        <v>432</v>
      </c>
      <c r="K256" s="1">
        <v>14.2</v>
      </c>
      <c r="L256" s="1">
        <v>2.7069999999999999</v>
      </c>
      <c r="M256" s="1">
        <v>100</v>
      </c>
      <c r="N256" s="1" t="s">
        <v>442</v>
      </c>
    </row>
    <row r="257" spans="1:14" x14ac:dyDescent="0.25">
      <c r="A257" s="1" t="s">
        <v>1960</v>
      </c>
      <c r="B257" s="1" t="s">
        <v>1609</v>
      </c>
      <c r="C257" s="1" t="s">
        <v>448</v>
      </c>
      <c r="D257" s="4">
        <v>4.5404247655002498E-2</v>
      </c>
      <c r="E257" s="3">
        <v>977052.00919871998</v>
      </c>
      <c r="H257" s="1" t="s">
        <v>264</v>
      </c>
      <c r="I257" s="1" t="s">
        <v>433</v>
      </c>
      <c r="J257" s="1" t="s">
        <v>434</v>
      </c>
      <c r="K257" s="1">
        <v>7</v>
      </c>
      <c r="L257" s="1">
        <v>2.7069999999999999</v>
      </c>
      <c r="M257" s="1">
        <v>100</v>
      </c>
      <c r="N257" s="1" t="s">
        <v>442</v>
      </c>
    </row>
    <row r="258" spans="1:14" x14ac:dyDescent="0.25">
      <c r="A258" s="1" t="s">
        <v>1961</v>
      </c>
      <c r="B258" s="1" t="s">
        <v>1609</v>
      </c>
      <c r="C258" s="1" t="s">
        <v>9</v>
      </c>
      <c r="D258" s="4">
        <v>3.4823400829243602E-2</v>
      </c>
      <c r="E258" s="3">
        <v>12747614.1955771</v>
      </c>
      <c r="F258" s="3">
        <f>E258/7.8</f>
        <v>1634309.5122534744</v>
      </c>
      <c r="G258" s="3">
        <f>F258/2</f>
        <v>817154.75612673722</v>
      </c>
      <c r="H258" s="1" t="s">
        <v>294</v>
      </c>
      <c r="I258" s="1" t="s">
        <v>356</v>
      </c>
      <c r="J258" s="1" t="s">
        <v>357</v>
      </c>
      <c r="K258" s="1">
        <v>14.2</v>
      </c>
      <c r="L258" s="1">
        <v>2.782</v>
      </c>
      <c r="M258" s="1">
        <v>100</v>
      </c>
      <c r="N258" s="1" t="s">
        <v>442</v>
      </c>
    </row>
    <row r="259" spans="1:14" x14ac:dyDescent="0.25">
      <c r="A259" s="1" t="s">
        <v>1961</v>
      </c>
      <c r="B259" s="1" t="s">
        <v>1609</v>
      </c>
      <c r="C259" s="1" t="s">
        <v>448</v>
      </c>
      <c r="D259" s="4">
        <v>3.5776193889810098E-2</v>
      </c>
      <c r="E259" s="3">
        <v>1701895.18369353</v>
      </c>
      <c r="H259" s="1" t="s">
        <v>358</v>
      </c>
      <c r="I259" s="1" t="s">
        <v>359</v>
      </c>
      <c r="J259" s="1" t="s">
        <v>360</v>
      </c>
      <c r="K259" s="1">
        <v>7</v>
      </c>
      <c r="L259" s="1">
        <v>2.782</v>
      </c>
      <c r="M259" s="1">
        <v>100</v>
      </c>
      <c r="N259" s="1" t="s">
        <v>442</v>
      </c>
    </row>
    <row r="260" spans="1:14" x14ac:dyDescent="0.25">
      <c r="A260" s="1" t="s">
        <v>1963</v>
      </c>
      <c r="B260" s="1" t="s">
        <v>1609</v>
      </c>
      <c r="C260" s="1" t="s">
        <v>9</v>
      </c>
      <c r="D260" s="4">
        <v>2.7471963424264698E-2</v>
      </c>
      <c r="E260" s="3">
        <v>4488542.68804783</v>
      </c>
      <c r="F260" s="3">
        <f>E260/7.8</f>
        <v>575454.19077536289</v>
      </c>
      <c r="G260" s="3">
        <f>F260/2</f>
        <v>287727.09538768145</v>
      </c>
      <c r="H260" s="1" t="s">
        <v>297</v>
      </c>
      <c r="I260" s="1" t="s">
        <v>334</v>
      </c>
      <c r="J260" s="1" t="s">
        <v>335</v>
      </c>
      <c r="K260" s="1">
        <v>14.2</v>
      </c>
      <c r="L260" s="1">
        <v>2.65</v>
      </c>
      <c r="M260" s="1">
        <v>100</v>
      </c>
      <c r="N260" s="1" t="s">
        <v>442</v>
      </c>
    </row>
    <row r="261" spans="1:14" x14ac:dyDescent="0.25">
      <c r="A261" s="1" t="s">
        <v>1963</v>
      </c>
      <c r="B261" s="1" t="s">
        <v>1609</v>
      </c>
      <c r="C261" s="1" t="s">
        <v>448</v>
      </c>
      <c r="D261" s="4">
        <v>5.8670374164675201E-2</v>
      </c>
      <c r="E261" s="3">
        <v>559340.22861814103</v>
      </c>
      <c r="H261" s="1" t="s">
        <v>56</v>
      </c>
      <c r="I261" s="1" t="s">
        <v>336</v>
      </c>
      <c r="J261" s="1" t="s">
        <v>337</v>
      </c>
      <c r="K261" s="1">
        <v>7</v>
      </c>
      <c r="L261" s="1">
        <v>2.65</v>
      </c>
      <c r="M261" s="1">
        <v>100</v>
      </c>
      <c r="N261" s="1" t="s">
        <v>442</v>
      </c>
    </row>
    <row r="262" spans="1:14" x14ac:dyDescent="0.25">
      <c r="A262" s="1" t="s">
        <v>1964</v>
      </c>
      <c r="B262" s="1" t="s">
        <v>1609</v>
      </c>
      <c r="C262" s="1" t="s">
        <v>9</v>
      </c>
      <c r="D262" s="4">
        <v>4.7057210738398102E-2</v>
      </c>
      <c r="E262" s="3">
        <v>1789635.7813963599</v>
      </c>
      <c r="F262" s="3">
        <f>E262/7.8</f>
        <v>229440.48479440511</v>
      </c>
      <c r="G262" s="3">
        <f>F262/2</f>
        <v>114720.24239720256</v>
      </c>
      <c r="H262" s="1" t="s">
        <v>227</v>
      </c>
      <c r="I262" s="1" t="s">
        <v>228</v>
      </c>
      <c r="J262" s="1" t="s">
        <v>229</v>
      </c>
      <c r="K262" s="1">
        <v>14.2</v>
      </c>
      <c r="L262" s="1">
        <v>2.62</v>
      </c>
      <c r="M262" s="1">
        <v>10</v>
      </c>
      <c r="N262" s="1" t="s">
        <v>442</v>
      </c>
    </row>
    <row r="263" spans="1:14" x14ac:dyDescent="0.25">
      <c r="A263" s="1" t="s">
        <v>1964</v>
      </c>
      <c r="B263" s="1" t="s">
        <v>1609</v>
      </c>
      <c r="C263" s="1" t="s">
        <v>448</v>
      </c>
      <c r="D263" s="4">
        <v>3.30799532236958E-2</v>
      </c>
      <c r="E263" s="3">
        <v>222830.78053957201</v>
      </c>
      <c r="H263" s="1" t="s">
        <v>227</v>
      </c>
      <c r="I263" s="1" t="s">
        <v>230</v>
      </c>
      <c r="J263" s="1" t="s">
        <v>231</v>
      </c>
      <c r="K263" s="1">
        <v>7</v>
      </c>
      <c r="L263" s="1">
        <v>2.62</v>
      </c>
      <c r="M263" s="1">
        <v>10</v>
      </c>
      <c r="N263" s="1" t="s">
        <v>442</v>
      </c>
    </row>
    <row r="264" spans="1:14" x14ac:dyDescent="0.25">
      <c r="A264" s="1" t="s">
        <v>1965</v>
      </c>
      <c r="B264" s="1" t="s">
        <v>1609</v>
      </c>
      <c r="C264" s="1" t="s">
        <v>9</v>
      </c>
      <c r="D264" s="4">
        <v>3.3186830506532802E-2</v>
      </c>
      <c r="E264" s="3">
        <v>11713673.6165094</v>
      </c>
      <c r="F264" s="3">
        <f>E264/7.8</f>
        <v>1501753.0277576155</v>
      </c>
      <c r="G264" s="3">
        <f>F264/2</f>
        <v>750876.51387880777</v>
      </c>
      <c r="H264" s="1" t="s">
        <v>177</v>
      </c>
      <c r="I264" s="1" t="s">
        <v>178</v>
      </c>
      <c r="J264" s="1" t="s">
        <v>179</v>
      </c>
      <c r="K264" s="1">
        <v>14.2</v>
      </c>
      <c r="L264" s="1">
        <v>2.8279999999999998</v>
      </c>
      <c r="M264" s="1">
        <v>100</v>
      </c>
      <c r="N264" s="1" t="s">
        <v>442</v>
      </c>
    </row>
    <row r="265" spans="1:14" x14ac:dyDescent="0.25">
      <c r="A265" s="1" t="s">
        <v>1965</v>
      </c>
      <c r="B265" s="1" t="s">
        <v>1609</v>
      </c>
      <c r="C265" s="1" t="s">
        <v>448</v>
      </c>
      <c r="D265" s="4">
        <v>3.8658474542202899E-2</v>
      </c>
      <c r="E265" s="3">
        <v>1396069.1075824499</v>
      </c>
      <c r="H265" s="1" t="s">
        <v>180</v>
      </c>
      <c r="I265" s="1" t="s">
        <v>181</v>
      </c>
      <c r="J265" s="1" t="s">
        <v>182</v>
      </c>
      <c r="K265" s="1">
        <v>7</v>
      </c>
      <c r="L265" s="1">
        <v>2.8279999999999998</v>
      </c>
      <c r="M265" s="1">
        <v>100</v>
      </c>
      <c r="N265" s="1" t="s">
        <v>442</v>
      </c>
    </row>
    <row r="266" spans="1:14" x14ac:dyDescent="0.25">
      <c r="A266" s="1" t="s">
        <v>1990</v>
      </c>
      <c r="B266" s="1" t="s">
        <v>1609</v>
      </c>
      <c r="C266" s="1" t="s">
        <v>9</v>
      </c>
      <c r="D266" s="4">
        <v>2.9324777457194699E-2</v>
      </c>
      <c r="E266" s="3">
        <v>93716.678586473994</v>
      </c>
      <c r="F266" s="3">
        <f>E266/7.8</f>
        <v>12014.958793137692</v>
      </c>
      <c r="G266" s="3">
        <f>F266/2</f>
        <v>6007.4793965688459</v>
      </c>
      <c r="H266" s="1" t="s">
        <v>56</v>
      </c>
      <c r="I266" s="1" t="s">
        <v>57</v>
      </c>
      <c r="J266" s="1" t="s">
        <v>58</v>
      </c>
      <c r="K266" s="1">
        <v>14.2</v>
      </c>
      <c r="L266" s="1">
        <v>2.8359999999999999</v>
      </c>
      <c r="M266" s="1" t="s">
        <v>20</v>
      </c>
      <c r="N266" s="1" t="s">
        <v>442</v>
      </c>
    </row>
    <row r="267" spans="1:14" x14ac:dyDescent="0.25">
      <c r="A267" s="1" t="s">
        <v>1990</v>
      </c>
      <c r="B267" s="1" t="s">
        <v>1609</v>
      </c>
      <c r="C267" s="1" t="s">
        <v>448</v>
      </c>
      <c r="D267" s="4">
        <v>4.0589902068015903E-2</v>
      </c>
      <c r="E267" s="3">
        <v>12114.100014994099</v>
      </c>
      <c r="H267" s="1" t="s">
        <v>59</v>
      </c>
      <c r="I267" s="1" t="s">
        <v>60</v>
      </c>
      <c r="J267" s="1" t="s">
        <v>61</v>
      </c>
      <c r="K267" s="1">
        <v>7</v>
      </c>
      <c r="L267" s="1">
        <v>2.8359999999999999</v>
      </c>
      <c r="M267" s="1" t="s">
        <v>20</v>
      </c>
      <c r="N267" s="1" t="s">
        <v>442</v>
      </c>
    </row>
    <row r="268" spans="1:14" x14ac:dyDescent="0.25">
      <c r="A268" s="1" t="s">
        <v>1997</v>
      </c>
      <c r="B268" s="1" t="s">
        <v>1609</v>
      </c>
      <c r="C268" s="1" t="s">
        <v>9</v>
      </c>
      <c r="D268" s="4">
        <v>3.2841616617821E-2</v>
      </c>
      <c r="E268" s="3">
        <v>1186092.1570191199</v>
      </c>
      <c r="F268" s="3">
        <f>E268/7.8</f>
        <v>152063.09705373333</v>
      </c>
      <c r="G268" s="3">
        <f>F268/2</f>
        <v>76031.548526866667</v>
      </c>
      <c r="H268" s="1" t="s">
        <v>17</v>
      </c>
      <c r="I268" s="1" t="s">
        <v>361</v>
      </c>
      <c r="J268" s="1" t="s">
        <v>362</v>
      </c>
      <c r="K268" s="1">
        <v>14.2</v>
      </c>
      <c r="L268" s="1">
        <v>2.76</v>
      </c>
      <c r="M268" s="1">
        <v>10</v>
      </c>
      <c r="N268" s="1" t="s">
        <v>442</v>
      </c>
    </row>
    <row r="269" spans="1:14" x14ac:dyDescent="0.25">
      <c r="A269" s="1" t="s">
        <v>1997</v>
      </c>
      <c r="B269" s="1" t="s">
        <v>1609</v>
      </c>
      <c r="C269" s="1" t="s">
        <v>448</v>
      </c>
      <c r="D269" s="4">
        <v>3.9381019059094198E-2</v>
      </c>
      <c r="E269" s="3">
        <v>135180.23189331399</v>
      </c>
      <c r="H269" s="1" t="s">
        <v>363</v>
      </c>
      <c r="I269" s="1" t="s">
        <v>364</v>
      </c>
      <c r="J269" s="1" t="s">
        <v>365</v>
      </c>
      <c r="K269" s="1">
        <v>7</v>
      </c>
      <c r="L269" s="1">
        <v>2.76</v>
      </c>
      <c r="M269" s="1">
        <v>10</v>
      </c>
      <c r="N269" s="1" t="s">
        <v>442</v>
      </c>
    </row>
    <row r="270" spans="1:14" x14ac:dyDescent="0.25">
      <c r="A270" s="1" t="s">
        <v>1998</v>
      </c>
      <c r="B270" s="1" t="s">
        <v>1609</v>
      </c>
      <c r="C270" s="1" t="s">
        <v>9</v>
      </c>
      <c r="D270" s="4">
        <v>2.8175836134570899E-2</v>
      </c>
      <c r="E270" s="3">
        <v>911651.91850683</v>
      </c>
      <c r="F270" s="3">
        <f>E270/7.8</f>
        <v>116878.45109061923</v>
      </c>
      <c r="G270" s="3">
        <f>F270/2</f>
        <v>58439.225545309615</v>
      </c>
      <c r="H270" s="1" t="s">
        <v>338</v>
      </c>
      <c r="I270" s="1" t="s">
        <v>339</v>
      </c>
      <c r="J270" s="1" t="s">
        <v>340</v>
      </c>
      <c r="K270" s="1">
        <v>14.2</v>
      </c>
      <c r="L270" s="1">
        <v>2.621</v>
      </c>
      <c r="M270" s="1">
        <v>10</v>
      </c>
      <c r="N270" s="1" t="s">
        <v>442</v>
      </c>
    </row>
    <row r="271" spans="1:14" x14ac:dyDescent="0.25">
      <c r="A271" s="1" t="s">
        <v>1998</v>
      </c>
      <c r="B271" s="1" t="s">
        <v>1609</v>
      </c>
      <c r="C271" s="1" t="s">
        <v>448</v>
      </c>
      <c r="D271" s="4">
        <v>4.11918876941453E-2</v>
      </c>
      <c r="E271" s="3">
        <v>125840.429766638</v>
      </c>
      <c r="H271" s="1" t="s">
        <v>56</v>
      </c>
      <c r="I271" s="1" t="s">
        <v>341</v>
      </c>
      <c r="J271" s="1" t="s">
        <v>342</v>
      </c>
      <c r="K271" s="1">
        <v>7</v>
      </c>
      <c r="L271" s="1">
        <v>2.621</v>
      </c>
      <c r="M271" s="1">
        <v>10</v>
      </c>
      <c r="N271" s="1" t="s">
        <v>442</v>
      </c>
    </row>
    <row r="272" spans="1:14" x14ac:dyDescent="0.25">
      <c r="A272" s="1" t="s">
        <v>1999</v>
      </c>
      <c r="B272" s="1" t="s">
        <v>1609</v>
      </c>
      <c r="C272" s="1" t="s">
        <v>9</v>
      </c>
      <c r="D272" s="4">
        <v>3.92646124466536E-2</v>
      </c>
      <c r="E272" s="3">
        <v>1558759.1581466601</v>
      </c>
      <c r="F272" s="3">
        <f>E272/7.8</f>
        <v>199840.91771111026</v>
      </c>
      <c r="G272" s="3">
        <f>F272/2</f>
        <v>99920.458855555131</v>
      </c>
      <c r="H272" s="1" t="s">
        <v>232</v>
      </c>
      <c r="I272" s="1" t="s">
        <v>233</v>
      </c>
      <c r="J272" s="1" t="s">
        <v>234</v>
      </c>
      <c r="K272" s="1">
        <v>14.2</v>
      </c>
      <c r="L272" s="1">
        <v>2.589</v>
      </c>
      <c r="M272" s="1">
        <v>10</v>
      </c>
      <c r="N272" s="1" t="s">
        <v>442</v>
      </c>
    </row>
    <row r="273" spans="1:14" x14ac:dyDescent="0.25">
      <c r="A273" s="1" t="s">
        <v>1999</v>
      </c>
      <c r="B273" s="1" t="s">
        <v>1609</v>
      </c>
      <c r="C273" s="1" t="s">
        <v>448</v>
      </c>
      <c r="D273" s="4">
        <v>3.5443539755719698E-2</v>
      </c>
      <c r="E273" s="3">
        <v>189868.87501785901</v>
      </c>
      <c r="H273" s="1" t="s">
        <v>235</v>
      </c>
      <c r="I273" s="1" t="s">
        <v>236</v>
      </c>
      <c r="J273" s="1" t="s">
        <v>237</v>
      </c>
      <c r="K273" s="1">
        <v>7</v>
      </c>
      <c r="L273" s="1">
        <v>2.589</v>
      </c>
      <c r="M273" s="1">
        <v>10</v>
      </c>
      <c r="N273" s="1" t="s">
        <v>442</v>
      </c>
    </row>
    <row r="274" spans="1:14" x14ac:dyDescent="0.25">
      <c r="A274" s="1" t="s">
        <v>2000</v>
      </c>
      <c r="B274" s="1" t="s">
        <v>1609</v>
      </c>
      <c r="C274" s="1" t="s">
        <v>9</v>
      </c>
      <c r="D274" s="4">
        <v>2.7026639327766999E-2</v>
      </c>
      <c r="E274" s="3">
        <v>6403174.0270510297</v>
      </c>
      <c r="F274" s="3">
        <f>E274/7.8</f>
        <v>820919.7470578244</v>
      </c>
      <c r="G274" s="3">
        <f>F274/2</f>
        <v>410459.8735289122</v>
      </c>
      <c r="H274" s="1" t="s">
        <v>183</v>
      </c>
      <c r="I274" s="1" t="s">
        <v>184</v>
      </c>
      <c r="J274" s="1" t="s">
        <v>185</v>
      </c>
      <c r="K274" s="1">
        <v>14.2</v>
      </c>
      <c r="L274" s="1">
        <v>2.7229999999999999</v>
      </c>
      <c r="M274" s="1">
        <v>100</v>
      </c>
      <c r="N274" s="1" t="s">
        <v>442</v>
      </c>
    </row>
    <row r="275" spans="1:14" x14ac:dyDescent="0.25">
      <c r="A275" s="1" t="s">
        <v>2000</v>
      </c>
      <c r="B275" s="1" t="s">
        <v>1609</v>
      </c>
      <c r="C275" s="1" t="s">
        <v>448</v>
      </c>
      <c r="D275" s="4">
        <v>4.8873124866424103E-2</v>
      </c>
      <c r="E275" s="3">
        <v>832460.92405706504</v>
      </c>
      <c r="H275" s="1" t="s">
        <v>186</v>
      </c>
      <c r="I275" s="1" t="s">
        <v>187</v>
      </c>
      <c r="J275" s="1" t="s">
        <v>188</v>
      </c>
      <c r="K275" s="1">
        <v>7</v>
      </c>
      <c r="L275" s="1">
        <v>2.7229999999999999</v>
      </c>
      <c r="M275" s="1">
        <v>100</v>
      </c>
      <c r="N275" s="1" t="s">
        <v>442</v>
      </c>
    </row>
    <row r="276" spans="1:14" x14ac:dyDescent="0.25">
      <c r="A276" s="1" t="s">
        <v>2001</v>
      </c>
      <c r="B276" s="1" t="s">
        <v>1609</v>
      </c>
      <c r="C276" s="1" t="s">
        <v>9</v>
      </c>
      <c r="D276" s="4">
        <v>3.6460771585139502E-2</v>
      </c>
      <c r="E276" s="3">
        <v>1385060.90407125</v>
      </c>
      <c r="F276" s="3">
        <f>E276/7.8</f>
        <v>177571.91077836539</v>
      </c>
      <c r="G276" s="3">
        <f>F276/2</f>
        <v>88785.955389182694</v>
      </c>
      <c r="H276" s="1" t="s">
        <v>108</v>
      </c>
      <c r="I276" s="1" t="s">
        <v>109</v>
      </c>
      <c r="J276" s="1" t="s">
        <v>110</v>
      </c>
      <c r="K276" s="1">
        <v>14.2</v>
      </c>
      <c r="L276" s="1">
        <v>2.7029999999999998</v>
      </c>
      <c r="M276" s="1">
        <v>10</v>
      </c>
      <c r="N276" s="1" t="s">
        <v>442</v>
      </c>
    </row>
    <row r="277" spans="1:14" x14ac:dyDescent="0.25">
      <c r="A277" s="1" t="s">
        <v>2001</v>
      </c>
      <c r="B277" s="1" t="s">
        <v>1609</v>
      </c>
      <c r="C277" s="1" t="s">
        <v>448</v>
      </c>
      <c r="D277" s="4">
        <v>3.6362450225101199E-2</v>
      </c>
      <c r="E277" s="3">
        <v>168003.38907591099</v>
      </c>
      <c r="H277" s="1" t="s">
        <v>111</v>
      </c>
      <c r="I277" s="1" t="s">
        <v>112</v>
      </c>
      <c r="J277" s="1" t="s">
        <v>113</v>
      </c>
      <c r="K277" s="1">
        <v>7</v>
      </c>
      <c r="L277" s="1">
        <v>2.7029999999999998</v>
      </c>
      <c r="M277" s="1">
        <v>10</v>
      </c>
      <c r="N277" s="1" t="s">
        <v>442</v>
      </c>
    </row>
    <row r="278" spans="1:14" x14ac:dyDescent="0.25">
      <c r="A278" s="1" t="s">
        <v>2002</v>
      </c>
      <c r="B278" s="1" t="s">
        <v>1609</v>
      </c>
      <c r="C278" s="1" t="s">
        <v>9</v>
      </c>
      <c r="D278" s="4">
        <v>2.8178745548327201E-2</v>
      </c>
      <c r="E278" s="3">
        <v>833233.13182855805</v>
      </c>
      <c r="F278" s="3">
        <f>E278/7.8</f>
        <v>106824.76049084078</v>
      </c>
      <c r="G278" s="3">
        <f>F278/2</f>
        <v>53412.380245420391</v>
      </c>
      <c r="H278" s="1" t="s">
        <v>98</v>
      </c>
      <c r="I278" s="1" t="s">
        <v>99</v>
      </c>
      <c r="J278" s="1" t="s">
        <v>100</v>
      </c>
      <c r="K278" s="1">
        <v>14.2</v>
      </c>
      <c r="L278" s="1">
        <v>2.847</v>
      </c>
      <c r="M278" s="1">
        <v>10</v>
      </c>
      <c r="N278" s="1" t="s">
        <v>442</v>
      </c>
    </row>
    <row r="279" spans="1:14" x14ac:dyDescent="0.25">
      <c r="A279" s="1" t="s">
        <v>2002</v>
      </c>
      <c r="B279" s="1" t="s">
        <v>1609</v>
      </c>
      <c r="C279" s="1" t="s">
        <v>448</v>
      </c>
      <c r="D279" s="4">
        <v>4.1246796071571203E-2</v>
      </c>
      <c r="E279" s="3">
        <v>116071.144663578</v>
      </c>
      <c r="H279" s="1" t="s">
        <v>59</v>
      </c>
      <c r="I279" s="1" t="s">
        <v>101</v>
      </c>
      <c r="J279" s="1" t="s">
        <v>102</v>
      </c>
      <c r="K279" s="1">
        <v>7</v>
      </c>
      <c r="L279" s="1">
        <v>2.847</v>
      </c>
      <c r="M279" s="1">
        <v>10</v>
      </c>
      <c r="N279" s="1" t="s">
        <v>442</v>
      </c>
    </row>
    <row r="280" spans="1:14" x14ac:dyDescent="0.25">
      <c r="A280" s="1" t="s">
        <v>2009</v>
      </c>
      <c r="B280" s="1" t="s">
        <v>1609</v>
      </c>
      <c r="C280" s="1" t="s">
        <v>9</v>
      </c>
      <c r="D280" s="4">
        <v>2.7472877528065699E-2</v>
      </c>
      <c r="E280" s="3">
        <v>43192.5228974481</v>
      </c>
      <c r="F280" s="3">
        <f>E280/7.8</f>
        <v>5537.5029355702691</v>
      </c>
      <c r="G280" s="3">
        <f>F280/2</f>
        <v>2768.7514677851345</v>
      </c>
      <c r="H280" s="1" t="s">
        <v>62</v>
      </c>
      <c r="I280" s="1" t="s">
        <v>63</v>
      </c>
      <c r="J280" s="1" t="s">
        <v>64</v>
      </c>
      <c r="K280" s="1">
        <v>14.2</v>
      </c>
      <c r="L280" s="1">
        <v>2.7719999999999998</v>
      </c>
      <c r="M280" s="1" t="s">
        <v>20</v>
      </c>
      <c r="N280" s="1" t="s">
        <v>442</v>
      </c>
    </row>
    <row r="281" spans="1:14" x14ac:dyDescent="0.25">
      <c r="A281" s="1" t="s">
        <v>2009</v>
      </c>
      <c r="B281" s="1" t="s">
        <v>1609</v>
      </c>
      <c r="C281" s="1" t="s">
        <v>448</v>
      </c>
      <c r="D281" s="4">
        <v>5.6545248434466198E-2</v>
      </c>
      <c r="E281" s="3">
        <v>5808.5470841899096</v>
      </c>
      <c r="H281" s="1" t="s">
        <v>53</v>
      </c>
      <c r="I281" s="1" t="s">
        <v>65</v>
      </c>
      <c r="J281" s="1" t="s">
        <v>66</v>
      </c>
      <c r="K281" s="1">
        <v>7</v>
      </c>
      <c r="L281" s="1">
        <v>2.7719999999999998</v>
      </c>
      <c r="M281" s="1" t="s">
        <v>20</v>
      </c>
      <c r="N281" s="1" t="s">
        <v>442</v>
      </c>
    </row>
    <row r="282" spans="1:14" x14ac:dyDescent="0.25">
      <c r="A282" s="1" t="s">
        <v>2010</v>
      </c>
      <c r="B282" s="1" t="s">
        <v>1609</v>
      </c>
      <c r="C282" s="1" t="s">
        <v>9</v>
      </c>
      <c r="D282" s="4">
        <v>6.4194308317382695E-2</v>
      </c>
      <c r="E282" s="3">
        <v>209272.10356053599</v>
      </c>
      <c r="F282" s="3">
        <f>E282/7.8</f>
        <v>26829.756866735384</v>
      </c>
      <c r="G282" s="3">
        <f>F282/2</f>
        <v>13414.878433367692</v>
      </c>
      <c r="H282" s="1" t="s">
        <v>114</v>
      </c>
      <c r="I282" s="1" t="s">
        <v>115</v>
      </c>
      <c r="J282" s="1" t="s">
        <v>116</v>
      </c>
      <c r="K282" s="1">
        <v>14.2</v>
      </c>
      <c r="L282" s="1">
        <v>2.6960000000000002</v>
      </c>
      <c r="M282" s="1" t="s">
        <v>20</v>
      </c>
      <c r="N282" s="1" t="s">
        <v>442</v>
      </c>
    </row>
    <row r="283" spans="1:14" x14ac:dyDescent="0.25">
      <c r="A283" s="1" t="s">
        <v>2010</v>
      </c>
      <c r="B283" s="1" t="s">
        <v>1609</v>
      </c>
      <c r="C283" s="1" t="s">
        <v>448</v>
      </c>
      <c r="D283" s="4">
        <v>3.1538840632469499E-2</v>
      </c>
      <c r="E283" s="3">
        <v>25057.251507864301</v>
      </c>
      <c r="H283" s="1" t="s">
        <v>114</v>
      </c>
      <c r="I283" s="1" t="s">
        <v>117</v>
      </c>
      <c r="J283" s="1" t="s">
        <v>118</v>
      </c>
      <c r="K283" s="1">
        <v>7</v>
      </c>
      <c r="L283" s="1">
        <v>2.6960000000000002</v>
      </c>
      <c r="M283" s="1" t="s">
        <v>20</v>
      </c>
      <c r="N283" s="1" t="s">
        <v>442</v>
      </c>
    </row>
    <row r="284" spans="1:14" x14ac:dyDescent="0.25">
      <c r="A284" s="1" t="s">
        <v>2011</v>
      </c>
      <c r="B284" s="1" t="s">
        <v>1609</v>
      </c>
      <c r="C284" s="1" t="s">
        <v>9</v>
      </c>
      <c r="D284" s="4">
        <v>4.1646509709645098E-2</v>
      </c>
      <c r="E284" s="3">
        <v>12338.2448480205</v>
      </c>
      <c r="F284" s="3">
        <f>E284/7.8</f>
        <v>1581.8262625667307</v>
      </c>
      <c r="G284" s="3">
        <f>F284/2</f>
        <v>790.91313128336537</v>
      </c>
      <c r="H284" s="1" t="s">
        <v>189</v>
      </c>
      <c r="I284" s="1" t="s">
        <v>190</v>
      </c>
      <c r="J284" s="1" t="s">
        <v>191</v>
      </c>
      <c r="K284" s="1">
        <v>14.2</v>
      </c>
      <c r="L284" s="1">
        <v>2.645</v>
      </c>
      <c r="M284" s="1" t="s">
        <v>20</v>
      </c>
      <c r="N284" s="1" t="s">
        <v>442</v>
      </c>
    </row>
    <row r="285" spans="1:14" x14ac:dyDescent="0.25">
      <c r="A285" s="1" t="s">
        <v>2011</v>
      </c>
      <c r="B285" s="1" t="s">
        <v>1609</v>
      </c>
      <c r="C285" s="1" t="s">
        <v>448</v>
      </c>
      <c r="D285" s="4">
        <v>0.121792047672452</v>
      </c>
      <c r="E285" s="3">
        <v>1235.3165634817799</v>
      </c>
      <c r="H285" s="1" t="s">
        <v>192</v>
      </c>
      <c r="I285" s="1" t="s">
        <v>193</v>
      </c>
      <c r="J285" s="1" t="s">
        <v>194</v>
      </c>
      <c r="K285" s="1">
        <v>7</v>
      </c>
      <c r="L285" s="1">
        <v>2.645</v>
      </c>
      <c r="M285" s="1" t="s">
        <v>20</v>
      </c>
      <c r="N285" s="1" t="s">
        <v>442</v>
      </c>
    </row>
    <row r="286" spans="1:14" x14ac:dyDescent="0.25">
      <c r="A286" s="1" t="s">
        <v>2012</v>
      </c>
      <c r="B286" s="1" t="s">
        <v>1609</v>
      </c>
      <c r="C286" s="1" t="s">
        <v>9</v>
      </c>
      <c r="D286" s="4">
        <v>3.2721690840383302E-2</v>
      </c>
      <c r="E286" s="3">
        <v>22893.875454890702</v>
      </c>
      <c r="F286" s="3">
        <f>E286/7.8</f>
        <v>2935.1122378065002</v>
      </c>
      <c r="G286" s="3">
        <f>F286/2</f>
        <v>1467.5561189032501</v>
      </c>
      <c r="H286" s="1" t="s">
        <v>38</v>
      </c>
      <c r="I286" s="1" t="s">
        <v>238</v>
      </c>
      <c r="J286" s="1" t="s">
        <v>239</v>
      </c>
      <c r="K286" s="1">
        <v>14.2</v>
      </c>
      <c r="L286" s="1">
        <v>2.6320000000000001</v>
      </c>
      <c r="M286" s="1" t="s">
        <v>20</v>
      </c>
      <c r="N286" s="1" t="s">
        <v>442</v>
      </c>
    </row>
    <row r="287" spans="1:14" x14ac:dyDescent="0.25">
      <c r="A287" s="1" t="s">
        <v>2012</v>
      </c>
      <c r="B287" s="1" t="s">
        <v>1609</v>
      </c>
      <c r="C287" s="1" t="s">
        <v>448</v>
      </c>
      <c r="D287" s="4">
        <v>7.8734876349283903E-2</v>
      </c>
      <c r="E287" s="3">
        <v>3017.8996919494398</v>
      </c>
      <c r="H287" s="1" t="s">
        <v>240</v>
      </c>
      <c r="I287" s="1" t="s">
        <v>241</v>
      </c>
      <c r="J287" s="1" t="s">
        <v>242</v>
      </c>
      <c r="K287" s="1">
        <v>7</v>
      </c>
      <c r="L287" s="1">
        <v>2.6320000000000001</v>
      </c>
      <c r="M287" s="1" t="s">
        <v>20</v>
      </c>
      <c r="N287" s="1" t="s">
        <v>442</v>
      </c>
    </row>
    <row r="288" spans="1:14" x14ac:dyDescent="0.25">
      <c r="A288" s="1" t="s">
        <v>2013</v>
      </c>
      <c r="B288" s="1" t="s">
        <v>1609</v>
      </c>
      <c r="C288" s="1" t="s">
        <v>9</v>
      </c>
      <c r="D288" s="4">
        <v>2.6853279252381498E-2</v>
      </c>
      <c r="E288" s="3">
        <v>67691.854050867507</v>
      </c>
      <c r="F288" s="3">
        <f>E288/7.8</f>
        <v>8678.442827034296</v>
      </c>
      <c r="G288" s="3">
        <f>F288/2</f>
        <v>4339.221413517148</v>
      </c>
      <c r="H288" s="1" t="s">
        <v>114</v>
      </c>
      <c r="I288" s="1" t="s">
        <v>343</v>
      </c>
      <c r="J288" s="1" t="s">
        <v>344</v>
      </c>
      <c r="K288" s="1">
        <v>14.2</v>
      </c>
      <c r="L288" s="1">
        <v>2.6269999999999998</v>
      </c>
      <c r="M288" s="1" t="s">
        <v>20</v>
      </c>
      <c r="N288" s="1" t="s">
        <v>442</v>
      </c>
    </row>
    <row r="289" spans="1:14" x14ac:dyDescent="0.25">
      <c r="A289" s="1" t="s">
        <v>2013</v>
      </c>
      <c r="B289" s="1" t="s">
        <v>1609</v>
      </c>
      <c r="C289" s="1" t="s">
        <v>448</v>
      </c>
      <c r="D289" s="4">
        <v>5.0213337016205999E-2</v>
      </c>
      <c r="E289" s="3">
        <v>7964.8762250300097</v>
      </c>
      <c r="H289" s="1" t="s">
        <v>91</v>
      </c>
      <c r="I289" s="1" t="s">
        <v>345</v>
      </c>
      <c r="J289" s="1" t="s">
        <v>346</v>
      </c>
      <c r="K289" s="1">
        <v>7</v>
      </c>
      <c r="L289" s="1">
        <v>2.6269999999999998</v>
      </c>
      <c r="M289" s="1" t="s">
        <v>20</v>
      </c>
      <c r="N289" s="1" t="s">
        <v>442</v>
      </c>
    </row>
    <row r="290" spans="1:14" x14ac:dyDescent="0.25">
      <c r="A290" s="1" t="s">
        <v>2015</v>
      </c>
      <c r="B290" s="1" t="s">
        <v>1609</v>
      </c>
      <c r="C290" s="1" t="s">
        <v>9</v>
      </c>
      <c r="D290" s="4">
        <v>5.2598484454306302E-2</v>
      </c>
      <c r="E290" s="3">
        <v>188603.25914633801</v>
      </c>
      <c r="F290" s="3">
        <f>E290/7.8</f>
        <v>24179.905018761285</v>
      </c>
      <c r="G290" s="3">
        <f>F290/2</f>
        <v>12089.952509380642</v>
      </c>
      <c r="H290" s="1" t="s">
        <v>17</v>
      </c>
      <c r="I290" s="1" t="s">
        <v>41</v>
      </c>
      <c r="J290" s="1" t="s">
        <v>366</v>
      </c>
      <c r="K290" s="1">
        <v>14.2</v>
      </c>
      <c r="L290" s="1">
        <v>2.6760000000000002</v>
      </c>
      <c r="M290" s="1" t="s">
        <v>20</v>
      </c>
      <c r="N290" s="1" t="s">
        <v>442</v>
      </c>
    </row>
    <row r="291" spans="1:14" x14ac:dyDescent="0.25">
      <c r="A291" s="1" t="s">
        <v>2015</v>
      </c>
      <c r="B291" s="1" t="s">
        <v>1609</v>
      </c>
      <c r="C291" s="1" t="s">
        <v>448</v>
      </c>
      <c r="D291" s="4">
        <v>3.2877451269393801E-2</v>
      </c>
      <c r="E291" s="3">
        <v>22295.276793962599</v>
      </c>
      <c r="H291" s="1" t="s">
        <v>17</v>
      </c>
      <c r="I291" s="1" t="s">
        <v>367</v>
      </c>
      <c r="J291" s="1" t="s">
        <v>368</v>
      </c>
      <c r="K291" s="1">
        <v>7</v>
      </c>
      <c r="L291" s="1">
        <v>2.6760000000000002</v>
      </c>
      <c r="M291" s="1" t="s">
        <v>20</v>
      </c>
      <c r="N291" s="1" t="s">
        <v>442</v>
      </c>
    </row>
    <row r="292" spans="1:14" x14ac:dyDescent="0.25">
      <c r="A292" t="s">
        <v>447</v>
      </c>
      <c r="B292" t="s">
        <v>1609</v>
      </c>
      <c r="C292" t="s">
        <v>9</v>
      </c>
      <c r="D292" s="4">
        <v>0</v>
      </c>
      <c r="E292" s="3">
        <v>0</v>
      </c>
      <c r="F292" s="3">
        <f>E292/7.8</f>
        <v>0</v>
      </c>
      <c r="G292" s="3">
        <f>F292/2</f>
        <v>0</v>
      </c>
      <c r="H292" t="s">
        <v>324</v>
      </c>
      <c r="I292" t="s">
        <v>201</v>
      </c>
      <c r="J292" t="s">
        <v>324</v>
      </c>
      <c r="K292">
        <v>13.01</v>
      </c>
      <c r="L292">
        <v>2.7330000000000001</v>
      </c>
      <c r="M292" s="1" t="s">
        <v>20</v>
      </c>
      <c r="N292" s="1" t="s">
        <v>444</v>
      </c>
    </row>
    <row r="293" spans="1:14" x14ac:dyDescent="0.25">
      <c r="A293" t="s">
        <v>447</v>
      </c>
      <c r="B293" t="s">
        <v>1609</v>
      </c>
      <c r="C293" t="s">
        <v>448</v>
      </c>
      <c r="D293" s="4">
        <v>0</v>
      </c>
      <c r="E293" s="3">
        <v>0</v>
      </c>
      <c r="H293" t="s">
        <v>324</v>
      </c>
      <c r="I293" t="s">
        <v>201</v>
      </c>
      <c r="J293" t="s">
        <v>324</v>
      </c>
      <c r="K293">
        <v>7.91</v>
      </c>
      <c r="L293">
        <v>2.7330000000000001</v>
      </c>
      <c r="M293" s="1" t="s">
        <v>20</v>
      </c>
      <c r="N293" s="1" t="s">
        <v>444</v>
      </c>
    </row>
    <row r="294" spans="1:14" x14ac:dyDescent="0.25">
      <c r="A294" t="s">
        <v>1608</v>
      </c>
      <c r="B294" t="s">
        <v>1609</v>
      </c>
      <c r="C294" t="s">
        <v>9</v>
      </c>
      <c r="D294" s="4">
        <v>3.4839542860688098E-2</v>
      </c>
      <c r="E294" s="3">
        <v>187408971.59231001</v>
      </c>
      <c r="F294" s="3">
        <f>E294/7.8</f>
        <v>24026791.229783334</v>
      </c>
      <c r="G294" s="3">
        <f>F294/2</f>
        <v>12013395.614891667</v>
      </c>
      <c r="H294" t="s">
        <v>264</v>
      </c>
      <c r="I294" t="s">
        <v>763</v>
      </c>
      <c r="J294" t="s">
        <v>764</v>
      </c>
      <c r="K294" t="s">
        <v>2044</v>
      </c>
      <c r="L294" t="s">
        <v>2045</v>
      </c>
      <c r="M294" s="1">
        <v>10000</v>
      </c>
      <c r="N294" s="1" t="s">
        <v>444</v>
      </c>
    </row>
    <row r="295" spans="1:14" x14ac:dyDescent="0.25">
      <c r="A295" t="s">
        <v>1608</v>
      </c>
      <c r="B295" t="s">
        <v>1609</v>
      </c>
      <c r="C295" t="s">
        <v>448</v>
      </c>
      <c r="D295" s="4">
        <v>8.5637579833247393E-2</v>
      </c>
      <c r="E295" s="3">
        <v>24509069.321895398</v>
      </c>
      <c r="H295" t="s">
        <v>98</v>
      </c>
      <c r="I295" t="s">
        <v>765</v>
      </c>
      <c r="J295" t="s">
        <v>766</v>
      </c>
      <c r="K295" t="s">
        <v>2046</v>
      </c>
      <c r="L295" t="s">
        <v>2045</v>
      </c>
      <c r="M295" s="1">
        <v>10000</v>
      </c>
      <c r="N295" s="1" t="s">
        <v>444</v>
      </c>
    </row>
    <row r="296" spans="1:14" x14ac:dyDescent="0.25">
      <c r="A296" t="s">
        <v>10</v>
      </c>
      <c r="B296" t="s">
        <v>1609</v>
      </c>
      <c r="C296" t="s">
        <v>9</v>
      </c>
      <c r="D296" s="4" t="s">
        <v>20</v>
      </c>
      <c r="E296" s="3" t="s">
        <v>20</v>
      </c>
      <c r="H296" t="s">
        <v>767</v>
      </c>
      <c r="I296" t="s">
        <v>201</v>
      </c>
      <c r="J296" t="s">
        <v>767</v>
      </c>
      <c r="K296">
        <v>13.01</v>
      </c>
      <c r="L296">
        <v>2.81</v>
      </c>
      <c r="M296" s="1" t="s">
        <v>20</v>
      </c>
      <c r="N296" s="1" t="s">
        <v>444</v>
      </c>
    </row>
    <row r="297" spans="1:14" x14ac:dyDescent="0.25">
      <c r="A297" t="s">
        <v>10</v>
      </c>
      <c r="B297" t="s">
        <v>1609</v>
      </c>
      <c r="C297" t="s">
        <v>448</v>
      </c>
      <c r="D297" s="4" t="s">
        <v>20</v>
      </c>
      <c r="E297" s="3" t="s">
        <v>20</v>
      </c>
      <c r="H297" t="s">
        <v>767</v>
      </c>
      <c r="I297" t="s">
        <v>201</v>
      </c>
      <c r="J297" t="s">
        <v>767</v>
      </c>
      <c r="K297">
        <v>7.91</v>
      </c>
      <c r="L297">
        <v>2.81</v>
      </c>
      <c r="M297" s="1" t="s">
        <v>20</v>
      </c>
      <c r="N297" s="1" t="s">
        <v>444</v>
      </c>
    </row>
    <row r="298" spans="1:14" x14ac:dyDescent="0.25">
      <c r="A298" t="s">
        <v>1625</v>
      </c>
      <c r="B298" t="s">
        <v>1609</v>
      </c>
      <c r="C298" t="s">
        <v>9</v>
      </c>
      <c r="D298" s="4">
        <v>4.6886230535248402E-2</v>
      </c>
      <c r="E298" s="3">
        <v>871930.22464749601</v>
      </c>
      <c r="F298" s="3">
        <f>E298/7.8</f>
        <v>111785.92623685846</v>
      </c>
      <c r="G298" s="3">
        <f>F298/2</f>
        <v>55892.96311842923</v>
      </c>
      <c r="H298" t="s">
        <v>461</v>
      </c>
      <c r="I298" t="s">
        <v>462</v>
      </c>
      <c r="J298" t="s">
        <v>463</v>
      </c>
      <c r="K298">
        <v>12.75</v>
      </c>
      <c r="L298">
        <v>2.81</v>
      </c>
      <c r="M298" s="1">
        <v>100</v>
      </c>
      <c r="N298" s="1" t="s">
        <v>444</v>
      </c>
    </row>
    <row r="299" spans="1:14" x14ac:dyDescent="0.25">
      <c r="A299" t="s">
        <v>1625</v>
      </c>
      <c r="B299" t="s">
        <v>1609</v>
      </c>
      <c r="C299" t="s">
        <v>448</v>
      </c>
      <c r="D299" s="4">
        <v>0.125736972954647</v>
      </c>
      <c r="E299" s="3">
        <v>108131.855575539</v>
      </c>
      <c r="H299" t="s">
        <v>108</v>
      </c>
      <c r="I299" t="s">
        <v>464</v>
      </c>
      <c r="J299" t="s">
        <v>465</v>
      </c>
      <c r="K299">
        <v>7.65</v>
      </c>
      <c r="L299">
        <v>2.81</v>
      </c>
      <c r="M299" s="1">
        <v>100</v>
      </c>
      <c r="N299" s="1" t="s">
        <v>444</v>
      </c>
    </row>
    <row r="300" spans="1:14" x14ac:dyDescent="0.25">
      <c r="A300" t="s">
        <v>1626</v>
      </c>
      <c r="B300" t="s">
        <v>1609</v>
      </c>
      <c r="C300" t="s">
        <v>9</v>
      </c>
      <c r="D300" s="4">
        <v>3.0202965166046401E-2</v>
      </c>
      <c r="E300" s="3">
        <v>28760.014300125</v>
      </c>
      <c r="F300" s="3">
        <f>E300/7.8</f>
        <v>3687.1813205288463</v>
      </c>
      <c r="G300" s="3">
        <f>F300/2</f>
        <v>1843.5906602644231</v>
      </c>
      <c r="H300" t="s">
        <v>468</v>
      </c>
      <c r="I300" t="s">
        <v>513</v>
      </c>
      <c r="J300" t="s">
        <v>514</v>
      </c>
      <c r="K300">
        <v>13.39</v>
      </c>
      <c r="L300">
        <v>2.7029999999999998</v>
      </c>
      <c r="M300" s="1" t="s">
        <v>20</v>
      </c>
      <c r="N300" s="1" t="s">
        <v>444</v>
      </c>
    </row>
    <row r="301" spans="1:14" x14ac:dyDescent="0.25">
      <c r="A301" t="s">
        <v>1626</v>
      </c>
      <c r="B301" t="s">
        <v>1609</v>
      </c>
      <c r="C301" t="s">
        <v>448</v>
      </c>
      <c r="D301" s="4">
        <v>7.3324388998887102E-2</v>
      </c>
      <c r="E301" s="3">
        <v>3405.9304569210699</v>
      </c>
      <c r="H301" t="s">
        <v>468</v>
      </c>
      <c r="I301" t="s">
        <v>515</v>
      </c>
      <c r="J301" t="s">
        <v>151</v>
      </c>
      <c r="K301">
        <v>7.01</v>
      </c>
      <c r="L301">
        <v>2.7029999999999998</v>
      </c>
      <c r="M301" s="1" t="s">
        <v>20</v>
      </c>
      <c r="N301" s="1" t="s">
        <v>444</v>
      </c>
    </row>
    <row r="302" spans="1:14" x14ac:dyDescent="0.25">
      <c r="A302" t="s">
        <v>1627</v>
      </c>
      <c r="B302" t="s">
        <v>1609</v>
      </c>
      <c r="C302" t="s">
        <v>9</v>
      </c>
      <c r="D302" s="4">
        <v>2.8748447985109699E-2</v>
      </c>
      <c r="E302" s="3">
        <v>928394.63854888396</v>
      </c>
      <c r="F302" s="3">
        <f>E302/7.8</f>
        <v>119024.95366011333</v>
      </c>
      <c r="G302" s="3">
        <f>F302/2</f>
        <v>59512.476830056665</v>
      </c>
      <c r="H302" t="s">
        <v>227</v>
      </c>
      <c r="I302" t="s">
        <v>568</v>
      </c>
      <c r="J302" t="s">
        <v>569</v>
      </c>
      <c r="K302">
        <v>10.199999999999999</v>
      </c>
      <c r="L302">
        <v>2.7229999999999999</v>
      </c>
      <c r="M302" s="1">
        <v>10</v>
      </c>
      <c r="N302" s="1" t="s">
        <v>444</v>
      </c>
    </row>
    <row r="303" spans="1:14" x14ac:dyDescent="0.25">
      <c r="A303" t="s">
        <v>1627</v>
      </c>
      <c r="B303" t="s">
        <v>1609</v>
      </c>
      <c r="C303" t="s">
        <v>448</v>
      </c>
      <c r="D303" s="4">
        <v>4.4025620972042601E-2</v>
      </c>
      <c r="E303" s="3">
        <v>104608.555645354</v>
      </c>
      <c r="H303" t="s">
        <v>570</v>
      </c>
      <c r="I303" t="s">
        <v>571</v>
      </c>
      <c r="J303" t="s">
        <v>572</v>
      </c>
      <c r="K303">
        <v>7.01</v>
      </c>
      <c r="L303">
        <v>2.7229999999999999</v>
      </c>
      <c r="M303" s="1">
        <v>10</v>
      </c>
      <c r="N303" s="1" t="s">
        <v>444</v>
      </c>
    </row>
    <row r="304" spans="1:14" x14ac:dyDescent="0.25">
      <c r="A304" t="s">
        <v>1628</v>
      </c>
      <c r="B304" t="s">
        <v>1609</v>
      </c>
      <c r="C304" t="s">
        <v>9</v>
      </c>
      <c r="D304" s="4">
        <v>3.9356598184707499E-2</v>
      </c>
      <c r="E304" s="3">
        <v>13452.801574999001</v>
      </c>
      <c r="F304" s="3">
        <f>E304/7.8</f>
        <v>1724.7181506408976</v>
      </c>
      <c r="G304" s="3">
        <f>F304/2</f>
        <v>862.35907532044882</v>
      </c>
      <c r="H304" t="s">
        <v>541</v>
      </c>
      <c r="I304" t="s">
        <v>616</v>
      </c>
      <c r="J304" t="s">
        <v>617</v>
      </c>
      <c r="K304">
        <v>12.11</v>
      </c>
      <c r="L304">
        <v>2.7679999999999998</v>
      </c>
      <c r="M304" s="1" t="s">
        <v>20</v>
      </c>
      <c r="N304" s="1" t="s">
        <v>444</v>
      </c>
    </row>
    <row r="305" spans="1:14" x14ac:dyDescent="0.25">
      <c r="A305" t="s">
        <v>1628</v>
      </c>
      <c r="B305" t="s">
        <v>1609</v>
      </c>
      <c r="C305" t="s">
        <v>448</v>
      </c>
      <c r="D305" s="4">
        <v>0.107737607558265</v>
      </c>
      <c r="E305" s="3">
        <v>1512.3910758135701</v>
      </c>
      <c r="H305" t="s">
        <v>11</v>
      </c>
      <c r="I305" t="s">
        <v>618</v>
      </c>
      <c r="J305" t="s">
        <v>619</v>
      </c>
      <c r="K305">
        <v>7.01</v>
      </c>
      <c r="L305">
        <v>2.7679999999999998</v>
      </c>
      <c r="M305" s="1" t="s">
        <v>20</v>
      </c>
      <c r="N305" s="1" t="s">
        <v>444</v>
      </c>
    </row>
    <row r="306" spans="1:14" x14ac:dyDescent="0.25">
      <c r="A306" t="s">
        <v>1630</v>
      </c>
      <c r="B306" t="s">
        <v>1609</v>
      </c>
      <c r="C306" t="s">
        <v>9</v>
      </c>
      <c r="D306" s="4">
        <v>2.8966268386099201E-2</v>
      </c>
      <c r="E306" s="3">
        <v>339780.092770249</v>
      </c>
      <c r="F306" s="3">
        <f>E306/7.8</f>
        <v>43561.550355160129</v>
      </c>
      <c r="G306" s="3">
        <f>F306/2</f>
        <v>21780.775177580064</v>
      </c>
      <c r="H306" t="s">
        <v>297</v>
      </c>
      <c r="I306" t="s">
        <v>654</v>
      </c>
      <c r="J306" t="s">
        <v>249</v>
      </c>
      <c r="K306">
        <v>12.75</v>
      </c>
      <c r="L306">
        <v>2.6880000000000002</v>
      </c>
      <c r="M306" s="1">
        <v>10</v>
      </c>
      <c r="N306" s="1" t="s">
        <v>444</v>
      </c>
    </row>
    <row r="307" spans="1:14" x14ac:dyDescent="0.25">
      <c r="A307" t="s">
        <v>1630</v>
      </c>
      <c r="B307" t="s">
        <v>1609</v>
      </c>
      <c r="C307" t="s">
        <v>448</v>
      </c>
      <c r="D307" s="4">
        <v>6.5010213761258401E-2</v>
      </c>
      <c r="E307" s="3">
        <v>44287.930547717697</v>
      </c>
      <c r="H307" t="s">
        <v>284</v>
      </c>
      <c r="I307" t="s">
        <v>655</v>
      </c>
      <c r="J307" t="s">
        <v>656</v>
      </c>
      <c r="K307">
        <v>7.01</v>
      </c>
      <c r="L307">
        <v>2.6880000000000002</v>
      </c>
      <c r="M307" s="1">
        <v>10</v>
      </c>
      <c r="N307" s="1" t="s">
        <v>444</v>
      </c>
    </row>
    <row r="308" spans="1:14" x14ac:dyDescent="0.25">
      <c r="A308" t="s">
        <v>1632</v>
      </c>
      <c r="B308" t="s">
        <v>1609</v>
      </c>
      <c r="C308" t="s">
        <v>9</v>
      </c>
      <c r="D308" s="4">
        <v>2.7155799401637599E-2</v>
      </c>
      <c r="E308" s="3">
        <v>491030.79269102699</v>
      </c>
      <c r="F308" s="3">
        <f>E308/7.8</f>
        <v>62952.66572961885</v>
      </c>
      <c r="G308" s="3">
        <f>F308/2</f>
        <v>31476.332864809425</v>
      </c>
      <c r="H308" t="s">
        <v>750</v>
      </c>
      <c r="I308" t="s">
        <v>751</v>
      </c>
      <c r="J308" t="s">
        <v>752</v>
      </c>
      <c r="K308">
        <v>12.11</v>
      </c>
      <c r="L308">
        <v>2.8610000000000002</v>
      </c>
      <c r="M308" s="1">
        <v>10</v>
      </c>
      <c r="N308" s="1" t="s">
        <v>444</v>
      </c>
    </row>
    <row r="309" spans="1:14" x14ac:dyDescent="0.25">
      <c r="A309" t="s">
        <v>1632</v>
      </c>
      <c r="B309" t="s">
        <v>1609</v>
      </c>
      <c r="C309" t="s">
        <v>448</v>
      </c>
      <c r="D309" s="4">
        <v>5.5791353928185503E-2</v>
      </c>
      <c r="E309" s="3">
        <v>58827.712222824499</v>
      </c>
      <c r="H309" t="s">
        <v>753</v>
      </c>
      <c r="I309" t="s">
        <v>754</v>
      </c>
      <c r="J309" t="s">
        <v>755</v>
      </c>
      <c r="K309">
        <v>8.2899999999999991</v>
      </c>
      <c r="L309">
        <v>2.8610000000000002</v>
      </c>
      <c r="M309" s="1">
        <v>10</v>
      </c>
      <c r="N309" s="1" t="s">
        <v>444</v>
      </c>
    </row>
    <row r="310" spans="1:14" x14ac:dyDescent="0.25">
      <c r="A310" t="s">
        <v>1654</v>
      </c>
      <c r="B310" t="s">
        <v>1609</v>
      </c>
      <c r="C310" t="s">
        <v>9</v>
      </c>
      <c r="D310" s="4">
        <v>2.9754974551834599E-2</v>
      </c>
      <c r="E310" s="3">
        <v>3048875.2760997401</v>
      </c>
      <c r="F310" s="3">
        <f>E310/7.8</f>
        <v>390881.44565381284</v>
      </c>
      <c r="G310" s="3">
        <f>F310/2</f>
        <v>195440.72282690642</v>
      </c>
      <c r="H310" t="s">
        <v>516</v>
      </c>
      <c r="I310" t="s">
        <v>517</v>
      </c>
      <c r="J310" t="s">
        <v>518</v>
      </c>
      <c r="K310">
        <v>13.39</v>
      </c>
      <c r="L310">
        <v>2.6960000000000002</v>
      </c>
      <c r="M310" s="1">
        <v>100</v>
      </c>
      <c r="N310" s="1" t="s">
        <v>444</v>
      </c>
    </row>
    <row r="311" spans="1:14" x14ac:dyDescent="0.25">
      <c r="A311" t="s">
        <v>1654</v>
      </c>
      <c r="B311" t="s">
        <v>1609</v>
      </c>
      <c r="C311" t="s">
        <v>448</v>
      </c>
      <c r="D311" s="4">
        <v>7.3685521365507697E-2</v>
      </c>
      <c r="E311" s="3">
        <v>338407.30010286003</v>
      </c>
      <c r="H311" t="s">
        <v>516</v>
      </c>
      <c r="I311" t="s">
        <v>519</v>
      </c>
      <c r="J311" t="s">
        <v>520</v>
      </c>
      <c r="K311">
        <v>7.01</v>
      </c>
      <c r="L311">
        <v>2.6960000000000002</v>
      </c>
      <c r="M311" s="1">
        <v>100</v>
      </c>
      <c r="N311" s="1" t="s">
        <v>444</v>
      </c>
    </row>
    <row r="312" spans="1:14" x14ac:dyDescent="0.25">
      <c r="A312" t="s">
        <v>1655</v>
      </c>
      <c r="B312" t="s">
        <v>1609</v>
      </c>
      <c r="C312" t="s">
        <v>9</v>
      </c>
      <c r="D312" s="4">
        <v>2.82392347908835E-2</v>
      </c>
      <c r="E312" s="3">
        <v>8533408.9660637397</v>
      </c>
      <c r="F312" s="3">
        <f>E312/7.8</f>
        <v>1094026.7905209924</v>
      </c>
      <c r="G312" s="3">
        <f>F312/2</f>
        <v>547013.39526049618</v>
      </c>
      <c r="H312" t="s">
        <v>108</v>
      </c>
      <c r="I312" t="s">
        <v>466</v>
      </c>
      <c r="J312" t="s">
        <v>250</v>
      </c>
      <c r="K312">
        <v>10.84</v>
      </c>
      <c r="L312">
        <v>2.8069999999999999</v>
      </c>
      <c r="M312" s="1">
        <v>100</v>
      </c>
      <c r="N312" s="1" t="s">
        <v>444</v>
      </c>
    </row>
    <row r="313" spans="1:14" x14ac:dyDescent="0.25">
      <c r="A313" t="s">
        <v>1655</v>
      </c>
      <c r="B313" t="s">
        <v>1609</v>
      </c>
      <c r="C313" t="s">
        <v>448</v>
      </c>
      <c r="D313" s="4">
        <v>4.1560666153778E-2</v>
      </c>
      <c r="E313" s="3">
        <v>1155461.73740085</v>
      </c>
      <c r="H313" t="s">
        <v>149</v>
      </c>
      <c r="I313" t="s">
        <v>467</v>
      </c>
      <c r="J313" t="s">
        <v>456</v>
      </c>
      <c r="K313">
        <v>7.01</v>
      </c>
      <c r="L313">
        <v>2.8069999999999999</v>
      </c>
      <c r="M313" s="1">
        <v>100</v>
      </c>
      <c r="N313" s="1" t="s">
        <v>444</v>
      </c>
    </row>
    <row r="314" spans="1:14" x14ac:dyDescent="0.25">
      <c r="A314" t="s">
        <v>1661</v>
      </c>
      <c r="B314" t="s">
        <v>1609</v>
      </c>
      <c r="C314" t="s">
        <v>9</v>
      </c>
      <c r="D314" s="4">
        <v>4.55011567197054E-2</v>
      </c>
      <c r="E314" s="3">
        <v>1688881.1430762201</v>
      </c>
      <c r="F314" s="3">
        <f>E314/7.8</f>
        <v>216523.22347131028</v>
      </c>
      <c r="G314" s="3">
        <f>F314/2</f>
        <v>108261.61173565514</v>
      </c>
      <c r="H314" t="s">
        <v>294</v>
      </c>
      <c r="I314" t="s">
        <v>688</v>
      </c>
      <c r="J314" t="s">
        <v>689</v>
      </c>
      <c r="K314">
        <v>14.66</v>
      </c>
      <c r="L314">
        <v>2.7080000000000002</v>
      </c>
      <c r="M314" s="1">
        <v>10</v>
      </c>
      <c r="N314" s="1" t="s">
        <v>444</v>
      </c>
    </row>
    <row r="315" spans="1:14" x14ac:dyDescent="0.25">
      <c r="A315" t="s">
        <v>1661</v>
      </c>
      <c r="B315" t="s">
        <v>1609</v>
      </c>
      <c r="C315" t="s">
        <v>448</v>
      </c>
      <c r="D315" s="4">
        <v>3.2633373163868197E-2</v>
      </c>
      <c r="E315" s="3">
        <v>224545.94242263801</v>
      </c>
      <c r="H315" t="s">
        <v>294</v>
      </c>
      <c r="I315" t="s">
        <v>690</v>
      </c>
      <c r="J315" t="s">
        <v>691</v>
      </c>
      <c r="K315">
        <v>7.01</v>
      </c>
      <c r="L315">
        <v>2.7080000000000002</v>
      </c>
      <c r="M315" s="1">
        <v>10</v>
      </c>
      <c r="N315" s="1" t="s">
        <v>444</v>
      </c>
    </row>
    <row r="316" spans="1:14" x14ac:dyDescent="0.25">
      <c r="A316" t="s">
        <v>1664</v>
      </c>
      <c r="B316" t="s">
        <v>1609</v>
      </c>
      <c r="C316" t="s">
        <v>9</v>
      </c>
      <c r="D316" s="4">
        <v>2.96156598808738E-2</v>
      </c>
      <c r="E316" s="3">
        <v>1037119.59519413</v>
      </c>
      <c r="F316" s="3">
        <f>E316/7.8</f>
        <v>132964.05066591411</v>
      </c>
      <c r="G316" s="3">
        <f>F316/2</f>
        <v>66482.025332957055</v>
      </c>
      <c r="H316" t="s">
        <v>227</v>
      </c>
      <c r="I316" t="s">
        <v>372</v>
      </c>
      <c r="J316" t="s">
        <v>684</v>
      </c>
      <c r="K316">
        <v>14.03</v>
      </c>
      <c r="L316">
        <v>2.6269999999999998</v>
      </c>
      <c r="M316" s="1">
        <v>10</v>
      </c>
      <c r="N316" s="1" t="s">
        <v>444</v>
      </c>
    </row>
    <row r="317" spans="1:14" x14ac:dyDescent="0.25">
      <c r="A317" t="s">
        <v>1664</v>
      </c>
      <c r="B317" t="s">
        <v>1609</v>
      </c>
      <c r="C317" t="s">
        <v>448</v>
      </c>
      <c r="D317" s="4">
        <v>4.0473201845823099E-2</v>
      </c>
      <c r="E317" s="3">
        <v>131952.29096375001</v>
      </c>
      <c r="H317" t="s">
        <v>685</v>
      </c>
      <c r="I317" t="s">
        <v>686</v>
      </c>
      <c r="J317" t="s">
        <v>687</v>
      </c>
      <c r="K317">
        <v>7.01</v>
      </c>
      <c r="L317">
        <v>2.6269999999999998</v>
      </c>
      <c r="M317" s="1">
        <v>10</v>
      </c>
      <c r="N317" s="1" t="s">
        <v>444</v>
      </c>
    </row>
    <row r="318" spans="1:14" x14ac:dyDescent="0.25">
      <c r="A318" t="s">
        <v>1665</v>
      </c>
      <c r="B318" t="s">
        <v>1609</v>
      </c>
      <c r="C318" t="s">
        <v>9</v>
      </c>
      <c r="D318" s="4">
        <v>2.6808181619435899E-2</v>
      </c>
      <c r="E318" s="3">
        <v>618775.53817542095</v>
      </c>
      <c r="F318" s="3">
        <f>E318/7.8</f>
        <v>79330.197201977047</v>
      </c>
      <c r="G318" s="3">
        <f>F318/2</f>
        <v>39665.098600988524</v>
      </c>
      <c r="H318" t="s">
        <v>71</v>
      </c>
      <c r="I318" t="s">
        <v>573</v>
      </c>
      <c r="J318" t="s">
        <v>574</v>
      </c>
      <c r="K318">
        <v>14.66</v>
      </c>
      <c r="L318">
        <v>2.645</v>
      </c>
      <c r="M318" s="1">
        <v>10</v>
      </c>
      <c r="N318" s="1" t="s">
        <v>444</v>
      </c>
    </row>
    <row r="319" spans="1:14" x14ac:dyDescent="0.25">
      <c r="A319" t="s">
        <v>1665</v>
      </c>
      <c r="B319" t="s">
        <v>1609</v>
      </c>
      <c r="C319" t="s">
        <v>448</v>
      </c>
      <c r="D319" s="4">
        <v>5.23108441645177E-2</v>
      </c>
      <c r="E319" s="3">
        <v>72115.078636265403</v>
      </c>
      <c r="H319" t="s">
        <v>71</v>
      </c>
      <c r="I319" t="s">
        <v>575</v>
      </c>
      <c r="J319" t="s">
        <v>576</v>
      </c>
      <c r="K319">
        <v>7.01</v>
      </c>
      <c r="L319">
        <v>2.645</v>
      </c>
      <c r="M319" s="1">
        <v>10</v>
      </c>
      <c r="N319" s="1" t="s">
        <v>444</v>
      </c>
    </row>
    <row r="320" spans="1:14" x14ac:dyDescent="0.25">
      <c r="A320" t="s">
        <v>1669</v>
      </c>
      <c r="B320" t="s">
        <v>1609</v>
      </c>
      <c r="C320" t="s">
        <v>9</v>
      </c>
      <c r="D320" s="4">
        <v>5.6714189891526601E-2</v>
      </c>
      <c r="E320" s="3">
        <v>1910042.4281117499</v>
      </c>
      <c r="F320" s="3">
        <f>E320/7.8</f>
        <v>244877.23437330127</v>
      </c>
      <c r="G320" s="3">
        <f>F320/2</f>
        <v>122438.61718665063</v>
      </c>
      <c r="H320" t="s">
        <v>76</v>
      </c>
      <c r="I320" t="s">
        <v>757</v>
      </c>
      <c r="J320" t="s">
        <v>281</v>
      </c>
      <c r="K320">
        <v>12.11</v>
      </c>
      <c r="L320">
        <v>2.7639999999999998</v>
      </c>
      <c r="M320" s="1">
        <v>10</v>
      </c>
      <c r="N320" s="1" t="s">
        <v>444</v>
      </c>
    </row>
    <row r="321" spans="1:14" x14ac:dyDescent="0.25">
      <c r="A321" t="s">
        <v>1669</v>
      </c>
      <c r="B321" t="s">
        <v>1609</v>
      </c>
      <c r="C321" t="s">
        <v>448</v>
      </c>
      <c r="D321" s="4">
        <v>3.2676376509100699E-2</v>
      </c>
      <c r="E321" s="3">
        <v>219767.89005990801</v>
      </c>
      <c r="H321" t="s">
        <v>76</v>
      </c>
      <c r="I321" t="s">
        <v>758</v>
      </c>
      <c r="J321" t="s">
        <v>292</v>
      </c>
      <c r="K321">
        <v>7.01</v>
      </c>
      <c r="L321">
        <v>2.7639999999999998</v>
      </c>
      <c r="M321" s="1">
        <v>10</v>
      </c>
      <c r="N321" s="1" t="s">
        <v>444</v>
      </c>
    </row>
    <row r="322" spans="1:14" x14ac:dyDescent="0.25">
      <c r="A322" t="s">
        <v>1670</v>
      </c>
      <c r="B322" t="s">
        <v>1609</v>
      </c>
      <c r="C322" t="s">
        <v>9</v>
      </c>
      <c r="D322" s="4">
        <v>3.1466364903292403E-2</v>
      </c>
      <c r="E322" s="3">
        <v>2616775.5999962701</v>
      </c>
      <c r="F322" s="3">
        <f>E322/7.8</f>
        <v>335484.05128157308</v>
      </c>
      <c r="G322" s="3">
        <f>F322/2</f>
        <v>167742.02564078654</v>
      </c>
      <c r="H322" t="s">
        <v>108</v>
      </c>
      <c r="I322" t="s">
        <v>657</v>
      </c>
      <c r="J322" t="s">
        <v>658</v>
      </c>
      <c r="K322">
        <v>12.75</v>
      </c>
      <c r="L322">
        <v>2.5950000000000002</v>
      </c>
      <c r="M322" s="1">
        <v>100</v>
      </c>
      <c r="N322" s="1" t="s">
        <v>444</v>
      </c>
    </row>
    <row r="323" spans="1:14" x14ac:dyDescent="0.25">
      <c r="A323" t="s">
        <v>1670</v>
      </c>
      <c r="B323" t="s">
        <v>1609</v>
      </c>
      <c r="C323" t="s">
        <v>448</v>
      </c>
      <c r="D323" s="4">
        <v>8.0034983692923695E-2</v>
      </c>
      <c r="E323" s="3">
        <v>295689.93005319301</v>
      </c>
      <c r="H323" t="s">
        <v>108</v>
      </c>
      <c r="I323" t="s">
        <v>659</v>
      </c>
      <c r="J323" t="s">
        <v>660</v>
      </c>
      <c r="K323">
        <v>7.01</v>
      </c>
      <c r="L323">
        <v>2.5950000000000002</v>
      </c>
      <c r="M323" s="1">
        <v>100</v>
      </c>
      <c r="N323" s="1" t="s">
        <v>444</v>
      </c>
    </row>
    <row r="324" spans="1:14" x14ac:dyDescent="0.25">
      <c r="A324" t="s">
        <v>1675</v>
      </c>
      <c r="B324" t="s">
        <v>1609</v>
      </c>
      <c r="C324" t="s">
        <v>9</v>
      </c>
      <c r="D324" s="4">
        <v>2.7300848561538599E-2</v>
      </c>
      <c r="E324" s="3">
        <v>7317669.9370353604</v>
      </c>
      <c r="F324" s="3">
        <f>E324/7.8</f>
        <v>938162.81244043086</v>
      </c>
      <c r="G324" s="3">
        <f>F324/2</f>
        <v>469081.40622021543</v>
      </c>
      <c r="H324" t="s">
        <v>169</v>
      </c>
      <c r="I324" t="s">
        <v>620</v>
      </c>
      <c r="J324" t="s">
        <v>621</v>
      </c>
      <c r="K324">
        <v>9.56</v>
      </c>
      <c r="L324">
        <v>2.802</v>
      </c>
      <c r="M324" s="1">
        <v>100</v>
      </c>
      <c r="N324" s="1" t="s">
        <v>444</v>
      </c>
    </row>
    <row r="325" spans="1:14" x14ac:dyDescent="0.25">
      <c r="A325" t="s">
        <v>1675</v>
      </c>
      <c r="B325" t="s">
        <v>1609</v>
      </c>
      <c r="C325" t="s">
        <v>448</v>
      </c>
      <c r="D325" s="4">
        <v>4.6406254714508502E-2</v>
      </c>
      <c r="E325" s="3">
        <v>898643.20691790304</v>
      </c>
      <c r="H325" t="s">
        <v>622</v>
      </c>
      <c r="I325" t="s">
        <v>623</v>
      </c>
      <c r="J325" t="s">
        <v>624</v>
      </c>
      <c r="K325">
        <v>7.01</v>
      </c>
      <c r="L325">
        <v>2.802</v>
      </c>
      <c r="M325" s="1">
        <v>100</v>
      </c>
      <c r="N325" s="1" t="s">
        <v>444</v>
      </c>
    </row>
    <row r="326" spans="1:14" x14ac:dyDescent="0.25">
      <c r="A326" t="s">
        <v>1689</v>
      </c>
      <c r="B326" t="s">
        <v>1609</v>
      </c>
      <c r="C326" t="s">
        <v>9</v>
      </c>
      <c r="D326" s="4">
        <v>3.0621311620257E-2</v>
      </c>
      <c r="E326" s="3">
        <v>106312.07721313</v>
      </c>
      <c r="F326" s="3">
        <f>E326/7.8</f>
        <v>13629.753488862822</v>
      </c>
      <c r="G326" s="3">
        <f>F326/2</f>
        <v>6814.8767444314108</v>
      </c>
      <c r="H326" t="s">
        <v>381</v>
      </c>
      <c r="I326" t="s">
        <v>525</v>
      </c>
      <c r="J326" t="s">
        <v>526</v>
      </c>
      <c r="K326">
        <v>13.39</v>
      </c>
      <c r="L326">
        <v>2.7269999999999999</v>
      </c>
      <c r="M326" s="1" t="s">
        <v>20</v>
      </c>
      <c r="N326" s="1" t="s">
        <v>444</v>
      </c>
    </row>
    <row r="327" spans="1:14" x14ac:dyDescent="0.25">
      <c r="A327" t="s">
        <v>1689</v>
      </c>
      <c r="B327" t="s">
        <v>1609</v>
      </c>
      <c r="C327" t="s">
        <v>448</v>
      </c>
      <c r="D327" s="4">
        <v>4.1718497865136699E-2</v>
      </c>
      <c r="E327" s="3">
        <v>11873.9826735362</v>
      </c>
      <c r="H327" t="s">
        <v>85</v>
      </c>
      <c r="I327" t="s">
        <v>527</v>
      </c>
      <c r="J327" t="s">
        <v>528</v>
      </c>
      <c r="K327">
        <v>7.01</v>
      </c>
      <c r="L327">
        <v>2.7269999999999999</v>
      </c>
      <c r="M327" s="1" t="s">
        <v>20</v>
      </c>
      <c r="N327" s="1" t="s">
        <v>444</v>
      </c>
    </row>
    <row r="328" spans="1:14" x14ac:dyDescent="0.25">
      <c r="A328" t="s">
        <v>1690</v>
      </c>
      <c r="B328" t="s">
        <v>1609</v>
      </c>
      <c r="C328" t="s">
        <v>9</v>
      </c>
      <c r="D328" s="4">
        <v>2.8167480610620001E-2</v>
      </c>
      <c r="E328" s="3">
        <v>395108.56331074901</v>
      </c>
      <c r="F328" s="3">
        <f>E328/7.8</f>
        <v>50654.944014198591</v>
      </c>
      <c r="G328" s="3">
        <f>F328/2</f>
        <v>25327.472007099295</v>
      </c>
      <c r="H328" t="s">
        <v>162</v>
      </c>
      <c r="I328" t="s">
        <v>580</v>
      </c>
      <c r="J328" t="s">
        <v>322</v>
      </c>
      <c r="K328">
        <v>13.39</v>
      </c>
      <c r="L328">
        <v>2.621</v>
      </c>
      <c r="M328" s="1">
        <v>10</v>
      </c>
      <c r="N328" s="1" t="s">
        <v>444</v>
      </c>
    </row>
    <row r="329" spans="1:14" x14ac:dyDescent="0.25">
      <c r="A329" t="s">
        <v>1690</v>
      </c>
      <c r="B329" t="s">
        <v>1609</v>
      </c>
      <c r="C329" t="s">
        <v>448</v>
      </c>
      <c r="D329" s="4">
        <v>6.0677851273078003E-2</v>
      </c>
      <c r="E329" s="3">
        <v>52660.283370946403</v>
      </c>
      <c r="H329" t="s">
        <v>76</v>
      </c>
      <c r="I329" t="s">
        <v>581</v>
      </c>
      <c r="J329" t="s">
        <v>582</v>
      </c>
      <c r="K329">
        <v>7.01</v>
      </c>
      <c r="L329">
        <v>2.621</v>
      </c>
      <c r="M329" s="1">
        <v>10</v>
      </c>
      <c r="N329" s="1" t="s">
        <v>444</v>
      </c>
    </row>
    <row r="330" spans="1:14" x14ac:dyDescent="0.25">
      <c r="A330" t="s">
        <v>1691</v>
      </c>
      <c r="B330" t="s">
        <v>1609</v>
      </c>
      <c r="C330" t="s">
        <v>9</v>
      </c>
      <c r="D330" s="4">
        <v>2.7201738708308099E-2</v>
      </c>
      <c r="E330" s="3">
        <v>48631.218235922803</v>
      </c>
      <c r="F330" s="3">
        <f>E330/7.8</f>
        <v>6234.7715687080517</v>
      </c>
      <c r="G330" s="3">
        <f>F330/2</f>
        <v>3117.3857843540259</v>
      </c>
      <c r="H330" t="s">
        <v>103</v>
      </c>
      <c r="I330" t="s">
        <v>629</v>
      </c>
      <c r="J330" t="s">
        <v>630</v>
      </c>
      <c r="K330">
        <v>12.11</v>
      </c>
      <c r="L330">
        <v>2.6120000000000001</v>
      </c>
      <c r="M330" s="1" t="s">
        <v>20</v>
      </c>
      <c r="N330" s="1" t="s">
        <v>444</v>
      </c>
    </row>
    <row r="331" spans="1:14" x14ac:dyDescent="0.25">
      <c r="A331" t="s">
        <v>1691</v>
      </c>
      <c r="B331" t="s">
        <v>1609</v>
      </c>
      <c r="C331" t="s">
        <v>448</v>
      </c>
      <c r="D331" s="4">
        <v>5.8205499779914897E-2</v>
      </c>
      <c r="E331" s="3">
        <v>5772.47701311936</v>
      </c>
      <c r="H331" t="s">
        <v>162</v>
      </c>
      <c r="I331" t="s">
        <v>631</v>
      </c>
      <c r="J331" t="s">
        <v>490</v>
      </c>
      <c r="K331">
        <v>7.01</v>
      </c>
      <c r="L331">
        <v>2.6120000000000001</v>
      </c>
      <c r="M331" s="1" t="s">
        <v>20</v>
      </c>
      <c r="N331" s="1" t="s">
        <v>444</v>
      </c>
    </row>
    <row r="332" spans="1:14" x14ac:dyDescent="0.25">
      <c r="A332" t="s">
        <v>1692</v>
      </c>
      <c r="B332" t="s">
        <v>1609</v>
      </c>
      <c r="C332" t="s">
        <v>9</v>
      </c>
      <c r="D332" s="4">
        <v>2.7988645076903199E-2</v>
      </c>
      <c r="E332" s="3">
        <v>88068.400718925201</v>
      </c>
      <c r="F332" s="3">
        <f>E332/7.8</f>
        <v>11290.820604990411</v>
      </c>
      <c r="G332" s="3">
        <f>F332/2</f>
        <v>5645.4103024952055</v>
      </c>
      <c r="H332" t="s">
        <v>56</v>
      </c>
      <c r="I332" t="s">
        <v>661</v>
      </c>
      <c r="J332" t="s">
        <v>662</v>
      </c>
      <c r="K332">
        <v>13.39</v>
      </c>
      <c r="L332">
        <v>2.6280000000000001</v>
      </c>
      <c r="M332" s="1" t="s">
        <v>20</v>
      </c>
      <c r="N332" s="1" t="s">
        <v>444</v>
      </c>
    </row>
    <row r="333" spans="1:14" x14ac:dyDescent="0.25">
      <c r="A333" t="s">
        <v>1692</v>
      </c>
      <c r="B333" t="s">
        <v>1609</v>
      </c>
      <c r="C333" t="s">
        <v>448</v>
      </c>
      <c r="D333" s="4">
        <v>4.4244496466881701E-2</v>
      </c>
      <c r="E333" s="3">
        <v>10707.861454038301</v>
      </c>
      <c r="H333" t="s">
        <v>663</v>
      </c>
      <c r="I333" t="s">
        <v>664</v>
      </c>
      <c r="J333" t="s">
        <v>665</v>
      </c>
      <c r="K333">
        <v>7.01</v>
      </c>
      <c r="L333">
        <v>2.6280000000000001</v>
      </c>
      <c r="M333" s="1" t="s">
        <v>20</v>
      </c>
      <c r="N333" s="1" t="s">
        <v>444</v>
      </c>
    </row>
    <row r="334" spans="1:14" x14ac:dyDescent="0.25">
      <c r="A334" t="s">
        <v>1701</v>
      </c>
      <c r="B334" t="s">
        <v>1609</v>
      </c>
      <c r="C334" t="s">
        <v>9</v>
      </c>
      <c r="D334" s="4">
        <v>3.1719483224626699E-2</v>
      </c>
      <c r="E334" s="3">
        <v>23738.134539959199</v>
      </c>
      <c r="F334" s="3">
        <f>E334/7.8</f>
        <v>3043.3505820460514</v>
      </c>
      <c r="G334" s="3">
        <f>F334/2</f>
        <v>1521.6752910230257</v>
      </c>
      <c r="H334" t="s">
        <v>130</v>
      </c>
      <c r="I334" t="s">
        <v>473</v>
      </c>
      <c r="J334" t="s">
        <v>474</v>
      </c>
      <c r="K334">
        <v>12.11</v>
      </c>
      <c r="L334">
        <v>2.8010000000000002</v>
      </c>
      <c r="M334" s="1" t="s">
        <v>20</v>
      </c>
      <c r="N334" s="1" t="s">
        <v>444</v>
      </c>
    </row>
    <row r="335" spans="1:14" x14ac:dyDescent="0.25">
      <c r="A335" t="s">
        <v>1701</v>
      </c>
      <c r="B335" t="s">
        <v>1609</v>
      </c>
      <c r="C335" t="s">
        <v>448</v>
      </c>
      <c r="D335" s="4">
        <v>0.112604197614806</v>
      </c>
      <c r="E335" s="3">
        <v>1361.7035429058501</v>
      </c>
      <c r="H335" t="s">
        <v>17</v>
      </c>
      <c r="I335" t="s">
        <v>475</v>
      </c>
      <c r="J335" t="s">
        <v>476</v>
      </c>
      <c r="K335">
        <v>7.01</v>
      </c>
      <c r="L335">
        <v>2.8010000000000002</v>
      </c>
      <c r="M335" s="1" t="s">
        <v>20</v>
      </c>
      <c r="N335" s="1" t="s">
        <v>444</v>
      </c>
    </row>
    <row r="336" spans="1:14" x14ac:dyDescent="0.25">
      <c r="A336" t="s">
        <v>1716</v>
      </c>
      <c r="B336" t="s">
        <v>1609</v>
      </c>
      <c r="C336" t="s">
        <v>9</v>
      </c>
      <c r="D336" s="4">
        <v>3.9145986286747002E-2</v>
      </c>
      <c r="E336" s="3">
        <v>13779.330152161199</v>
      </c>
      <c r="F336" s="3">
        <f>E336/7.8</f>
        <v>1766.5807887386154</v>
      </c>
      <c r="G336" s="3">
        <f>F336/2</f>
        <v>883.29039436930771</v>
      </c>
      <c r="H336" t="s">
        <v>688</v>
      </c>
      <c r="I336" t="s">
        <v>759</v>
      </c>
      <c r="J336" t="s">
        <v>760</v>
      </c>
      <c r="K336">
        <v>14.66</v>
      </c>
      <c r="L336">
        <v>2.7469999999999999</v>
      </c>
      <c r="M336" s="1" t="s">
        <v>20</v>
      </c>
      <c r="N336" s="1" t="s">
        <v>444</v>
      </c>
    </row>
    <row r="337" spans="1:14" x14ac:dyDescent="0.25">
      <c r="A337" t="s">
        <v>1716</v>
      </c>
      <c r="B337" t="s">
        <v>1609</v>
      </c>
      <c r="C337" t="s">
        <v>448</v>
      </c>
      <c r="D337" s="4">
        <v>9.7282424927392502E-2</v>
      </c>
      <c r="E337" s="3">
        <v>1871.13000890274</v>
      </c>
      <c r="H337" t="s">
        <v>324</v>
      </c>
      <c r="I337" t="s">
        <v>761</v>
      </c>
      <c r="J337" t="s">
        <v>762</v>
      </c>
      <c r="K337">
        <v>7.01</v>
      </c>
      <c r="L337">
        <v>2.7469999999999999</v>
      </c>
      <c r="M337" s="1" t="s">
        <v>20</v>
      </c>
      <c r="N337" s="1" t="s">
        <v>444</v>
      </c>
    </row>
    <row r="338" spans="1:14" x14ac:dyDescent="0.25">
      <c r="A338" t="s">
        <v>1717</v>
      </c>
      <c r="B338" t="s">
        <v>1609</v>
      </c>
      <c r="C338" t="s">
        <v>9</v>
      </c>
      <c r="D338" s="4">
        <v>2.68129770572938E-2</v>
      </c>
      <c r="E338" s="3">
        <v>63289.665746626597</v>
      </c>
      <c r="F338" s="3">
        <f>E338/7.8</f>
        <v>8114.0597111059742</v>
      </c>
      <c r="G338" s="3">
        <f>F338/2</f>
        <v>4057.0298555529871</v>
      </c>
      <c r="H338" t="s">
        <v>468</v>
      </c>
      <c r="I338" t="s">
        <v>692</v>
      </c>
      <c r="J338" t="s">
        <v>185</v>
      </c>
      <c r="K338">
        <v>13.39</v>
      </c>
      <c r="L338">
        <v>2.782</v>
      </c>
      <c r="M338" s="1" t="s">
        <v>20</v>
      </c>
      <c r="N338" s="1" t="s">
        <v>444</v>
      </c>
    </row>
    <row r="339" spans="1:14" x14ac:dyDescent="0.25">
      <c r="A339" t="s">
        <v>1717</v>
      </c>
      <c r="B339" t="s">
        <v>1609</v>
      </c>
      <c r="C339" t="s">
        <v>448</v>
      </c>
      <c r="D339" s="4">
        <v>5.1873289362415802E-2</v>
      </c>
      <c r="E339" s="3">
        <v>6974.8726925151896</v>
      </c>
      <c r="H339" t="s">
        <v>56</v>
      </c>
      <c r="I339" t="s">
        <v>693</v>
      </c>
      <c r="J339" t="s">
        <v>694</v>
      </c>
      <c r="K339">
        <v>7.01</v>
      </c>
      <c r="L339">
        <v>2.782</v>
      </c>
      <c r="M339" s="1" t="s">
        <v>20</v>
      </c>
      <c r="N339" s="1" t="s">
        <v>444</v>
      </c>
    </row>
    <row r="340" spans="1:14" x14ac:dyDescent="0.25">
      <c r="A340" t="s">
        <v>1718</v>
      </c>
      <c r="B340" t="s">
        <v>1609</v>
      </c>
      <c r="C340" t="s">
        <v>9</v>
      </c>
      <c r="D340" s="4">
        <v>2.6820869243611802E-2</v>
      </c>
      <c r="E340" s="3">
        <v>666722.39817566902</v>
      </c>
      <c r="F340" s="3">
        <f>E340/7.8</f>
        <v>85477.230535342183</v>
      </c>
      <c r="G340" s="3">
        <f>F340/2</f>
        <v>42738.615267671092</v>
      </c>
      <c r="H340" t="s">
        <v>637</v>
      </c>
      <c r="I340" t="s">
        <v>666</v>
      </c>
      <c r="J340" t="s">
        <v>667</v>
      </c>
      <c r="K340">
        <v>12.75</v>
      </c>
      <c r="L340">
        <v>2.67</v>
      </c>
      <c r="M340" s="1">
        <v>10</v>
      </c>
      <c r="N340" s="1" t="s">
        <v>444</v>
      </c>
    </row>
    <row r="341" spans="1:14" x14ac:dyDescent="0.25">
      <c r="A341" t="s">
        <v>1718</v>
      </c>
      <c r="B341" t="s">
        <v>1609</v>
      </c>
      <c r="C341" t="s">
        <v>448</v>
      </c>
      <c r="D341" s="4">
        <v>4.9905850103306101E-2</v>
      </c>
      <c r="E341" s="3">
        <v>79086.193704855905</v>
      </c>
      <c r="H341" t="s">
        <v>222</v>
      </c>
      <c r="I341" t="s">
        <v>668</v>
      </c>
      <c r="J341" t="s">
        <v>669</v>
      </c>
      <c r="K341">
        <v>7.65</v>
      </c>
      <c r="L341">
        <v>2.67</v>
      </c>
      <c r="M341" s="1">
        <v>10</v>
      </c>
      <c r="N341" s="1" t="s">
        <v>444</v>
      </c>
    </row>
    <row r="342" spans="1:14" x14ac:dyDescent="0.25">
      <c r="A342" t="s">
        <v>1720</v>
      </c>
      <c r="B342" t="s">
        <v>1609</v>
      </c>
      <c r="C342" t="s">
        <v>9</v>
      </c>
      <c r="D342" s="4">
        <v>3.3761543348074699E-2</v>
      </c>
      <c r="E342" s="3">
        <v>130802.342193456</v>
      </c>
      <c r="F342" s="3">
        <f>E342/7.8</f>
        <v>16769.531050443078</v>
      </c>
      <c r="G342" s="3">
        <f>F342/2</f>
        <v>8384.7655252215391</v>
      </c>
      <c r="H342" t="s">
        <v>486</v>
      </c>
      <c r="I342" t="s">
        <v>632</v>
      </c>
      <c r="J342" t="s">
        <v>633</v>
      </c>
      <c r="K342">
        <v>10.84</v>
      </c>
      <c r="L342">
        <v>2.6070000000000002</v>
      </c>
      <c r="M342" s="1" t="s">
        <v>20</v>
      </c>
      <c r="N342" s="1" t="s">
        <v>444</v>
      </c>
    </row>
    <row r="343" spans="1:14" x14ac:dyDescent="0.25">
      <c r="A343" t="s">
        <v>1720</v>
      </c>
      <c r="B343" t="s">
        <v>1609</v>
      </c>
      <c r="C343" t="s">
        <v>448</v>
      </c>
      <c r="D343" s="4">
        <v>4.8884423353500302E-2</v>
      </c>
      <c r="E343" s="3">
        <v>8530.0873678949592</v>
      </c>
      <c r="H343" t="s">
        <v>634</v>
      </c>
      <c r="I343" t="s">
        <v>635</v>
      </c>
      <c r="J343" t="s">
        <v>636</v>
      </c>
      <c r="K343">
        <v>7.01</v>
      </c>
      <c r="L343">
        <v>2.6070000000000002</v>
      </c>
      <c r="M343" s="1" t="s">
        <v>20</v>
      </c>
      <c r="N343" s="1" t="s">
        <v>444</v>
      </c>
    </row>
    <row r="344" spans="1:14" x14ac:dyDescent="0.25">
      <c r="A344" t="s">
        <v>1721</v>
      </c>
      <c r="B344" t="s">
        <v>1609</v>
      </c>
      <c r="C344" t="s">
        <v>9</v>
      </c>
      <c r="D344" s="4">
        <v>2.6964251445410901E-2</v>
      </c>
      <c r="E344" s="3">
        <v>52534.872395295097</v>
      </c>
      <c r="F344" s="3">
        <f>E344/7.8</f>
        <v>6735.240050678859</v>
      </c>
      <c r="G344" s="3">
        <f>F344/2</f>
        <v>3367.6200253394295</v>
      </c>
      <c r="H344" t="s">
        <v>67</v>
      </c>
      <c r="I344" t="s">
        <v>583</v>
      </c>
      <c r="J344" t="s">
        <v>584</v>
      </c>
      <c r="K344">
        <v>14.66</v>
      </c>
      <c r="L344">
        <v>2.6389999999999998</v>
      </c>
      <c r="M344" s="1" t="s">
        <v>20</v>
      </c>
      <c r="N344" s="1" t="s">
        <v>444</v>
      </c>
    </row>
    <row r="345" spans="1:14" x14ac:dyDescent="0.25">
      <c r="A345" t="s">
        <v>1721</v>
      </c>
      <c r="B345" t="s">
        <v>1609</v>
      </c>
      <c r="C345" t="s">
        <v>448</v>
      </c>
      <c r="D345" s="4">
        <v>5.2237136086429103E-2</v>
      </c>
      <c r="E345" s="3">
        <v>7248.5578037525702</v>
      </c>
      <c r="H345" t="s">
        <v>76</v>
      </c>
      <c r="I345" t="s">
        <v>585</v>
      </c>
      <c r="J345" t="s">
        <v>586</v>
      </c>
      <c r="K345">
        <v>7.01</v>
      </c>
      <c r="L345">
        <v>2.6389999999999998</v>
      </c>
      <c r="M345" s="1" t="s">
        <v>20</v>
      </c>
      <c r="N345" s="1" t="s">
        <v>444</v>
      </c>
    </row>
    <row r="346" spans="1:14" x14ac:dyDescent="0.25">
      <c r="A346" t="s">
        <v>1722</v>
      </c>
      <c r="B346" t="s">
        <v>1609</v>
      </c>
      <c r="C346" t="s">
        <v>9</v>
      </c>
      <c r="D346" s="4">
        <v>2.69758231033119E-2</v>
      </c>
      <c r="E346" s="3">
        <v>50969.883252741303</v>
      </c>
      <c r="F346" s="3">
        <f>E346/7.8</f>
        <v>6534.6004170181159</v>
      </c>
      <c r="G346" s="3">
        <f>F346/2</f>
        <v>3267.3002085090579</v>
      </c>
      <c r="H346" t="s">
        <v>114</v>
      </c>
      <c r="I346" t="s">
        <v>529</v>
      </c>
      <c r="J346" t="s">
        <v>530</v>
      </c>
      <c r="K346">
        <v>13.39</v>
      </c>
      <c r="L346">
        <v>2.7160000000000002</v>
      </c>
      <c r="M346" s="1" t="s">
        <v>20</v>
      </c>
      <c r="N346" s="1" t="s">
        <v>444</v>
      </c>
    </row>
    <row r="347" spans="1:14" x14ac:dyDescent="0.25">
      <c r="A347" t="s">
        <v>1722</v>
      </c>
      <c r="B347" t="s">
        <v>1609</v>
      </c>
      <c r="C347" t="s">
        <v>448</v>
      </c>
      <c r="D347" s="4">
        <v>6.6752888495144005E-2</v>
      </c>
      <c r="E347" s="3">
        <v>4141.6760675066898</v>
      </c>
      <c r="H347" t="s">
        <v>198</v>
      </c>
      <c r="I347" t="s">
        <v>531</v>
      </c>
      <c r="J347" t="s">
        <v>532</v>
      </c>
      <c r="K347">
        <v>7.01</v>
      </c>
      <c r="L347">
        <v>2.7160000000000002</v>
      </c>
      <c r="M347" s="1" t="s">
        <v>20</v>
      </c>
      <c r="N347" s="1" t="s">
        <v>444</v>
      </c>
    </row>
    <row r="348" spans="1:14" x14ac:dyDescent="0.25">
      <c r="A348" t="s">
        <v>1738</v>
      </c>
      <c r="B348" t="s">
        <v>1609</v>
      </c>
      <c r="C348" t="s">
        <v>9</v>
      </c>
      <c r="D348" s="4">
        <v>2.6781068712865098E-2</v>
      </c>
      <c r="E348" s="3">
        <v>5872615.0634898702</v>
      </c>
      <c r="F348" s="3">
        <f>E348/7.8</f>
        <v>752899.36711408594</v>
      </c>
      <c r="G348" s="3">
        <f>F348/2</f>
        <v>376449.68355704297</v>
      </c>
      <c r="H348" t="s">
        <v>240</v>
      </c>
      <c r="I348" t="s">
        <v>625</v>
      </c>
      <c r="J348" t="s">
        <v>626</v>
      </c>
      <c r="K348">
        <v>13.39</v>
      </c>
      <c r="L348">
        <v>2.6819999999999999</v>
      </c>
      <c r="M348" s="1">
        <v>100</v>
      </c>
      <c r="N348" s="1" t="s">
        <v>444</v>
      </c>
    </row>
    <row r="349" spans="1:14" x14ac:dyDescent="0.25">
      <c r="A349" t="s">
        <v>1738</v>
      </c>
      <c r="B349" t="s">
        <v>1609</v>
      </c>
      <c r="C349" t="s">
        <v>448</v>
      </c>
      <c r="D349" s="4">
        <v>5.1254795129542598E-2</v>
      </c>
      <c r="E349" s="3">
        <v>742028.125572955</v>
      </c>
      <c r="H349" t="s">
        <v>240</v>
      </c>
      <c r="I349" t="s">
        <v>627</v>
      </c>
      <c r="J349" t="s">
        <v>628</v>
      </c>
      <c r="K349">
        <v>7.01</v>
      </c>
      <c r="L349">
        <v>2.6819999999999999</v>
      </c>
      <c r="M349" s="1">
        <v>100</v>
      </c>
      <c r="N349" s="1" t="s">
        <v>444</v>
      </c>
    </row>
    <row r="350" spans="1:14" x14ac:dyDescent="0.25">
      <c r="A350" t="s">
        <v>1740</v>
      </c>
      <c r="B350" t="s">
        <v>1609</v>
      </c>
      <c r="C350" t="s">
        <v>9</v>
      </c>
      <c r="D350" s="4">
        <v>3.0102315477534398E-2</v>
      </c>
      <c r="E350" s="3">
        <v>1088820.76456788</v>
      </c>
      <c r="F350" s="3">
        <f>E350/7.8</f>
        <v>139592.40571383075</v>
      </c>
      <c r="G350" s="3">
        <f>F350/2</f>
        <v>69796.202856915377</v>
      </c>
      <c r="H350" t="s">
        <v>35</v>
      </c>
      <c r="I350" t="s">
        <v>577</v>
      </c>
      <c r="J350" t="s">
        <v>412</v>
      </c>
      <c r="K350">
        <v>10.84</v>
      </c>
      <c r="L350">
        <v>2.5960000000000001</v>
      </c>
      <c r="M350" s="1">
        <v>10</v>
      </c>
      <c r="N350" s="1" t="s">
        <v>444</v>
      </c>
    </row>
    <row r="351" spans="1:14" x14ac:dyDescent="0.25">
      <c r="A351" t="s">
        <v>1740</v>
      </c>
      <c r="B351" t="s">
        <v>1609</v>
      </c>
      <c r="C351" t="s">
        <v>448</v>
      </c>
      <c r="D351" s="4">
        <v>4.0076564468955897E-2</v>
      </c>
      <c r="E351" s="3">
        <v>136071.76177117499</v>
      </c>
      <c r="H351" t="s">
        <v>62</v>
      </c>
      <c r="I351" t="s">
        <v>578</v>
      </c>
      <c r="J351" t="s">
        <v>579</v>
      </c>
      <c r="K351">
        <v>7.01</v>
      </c>
      <c r="L351">
        <v>2.5960000000000001</v>
      </c>
      <c r="M351" s="1">
        <v>10</v>
      </c>
      <c r="N351" s="1" t="s">
        <v>444</v>
      </c>
    </row>
    <row r="352" spans="1:14" x14ac:dyDescent="0.25">
      <c r="A352" t="s">
        <v>1742</v>
      </c>
      <c r="B352" t="s">
        <v>1609</v>
      </c>
      <c r="C352" t="s">
        <v>9</v>
      </c>
      <c r="D352" s="4">
        <v>4.4566735672378802E-2</v>
      </c>
      <c r="E352" s="3">
        <v>17013201.456572302</v>
      </c>
      <c r="F352" s="3">
        <f>E352/7.8</f>
        <v>2181179.6739195259</v>
      </c>
      <c r="G352" s="3">
        <f>F352/2</f>
        <v>1090589.836959763</v>
      </c>
      <c r="H352" t="s">
        <v>130</v>
      </c>
      <c r="I352" t="s">
        <v>521</v>
      </c>
      <c r="J352" t="s">
        <v>522</v>
      </c>
      <c r="K352">
        <v>12.75</v>
      </c>
      <c r="L352">
        <v>2.6440000000000001</v>
      </c>
      <c r="M352" s="1">
        <v>100</v>
      </c>
      <c r="N352" s="1" t="s">
        <v>444</v>
      </c>
    </row>
    <row r="353" spans="1:14" x14ac:dyDescent="0.25">
      <c r="A353" t="s">
        <v>1742</v>
      </c>
      <c r="B353" t="s">
        <v>1609</v>
      </c>
      <c r="C353" t="s">
        <v>448</v>
      </c>
      <c r="D353" s="4">
        <v>3.2688386037268702E-2</v>
      </c>
      <c r="E353" s="3">
        <v>2294502.97300018</v>
      </c>
      <c r="H353" t="s">
        <v>130</v>
      </c>
      <c r="I353" t="s">
        <v>523</v>
      </c>
      <c r="J353" t="s">
        <v>524</v>
      </c>
      <c r="K353">
        <v>7.01</v>
      </c>
      <c r="L353">
        <v>2.6440000000000001</v>
      </c>
      <c r="M353" s="1">
        <v>100</v>
      </c>
      <c r="N353" s="1" t="s">
        <v>444</v>
      </c>
    </row>
    <row r="354" spans="1:14" x14ac:dyDescent="0.25">
      <c r="A354" t="s">
        <v>1744</v>
      </c>
      <c r="B354" t="s">
        <v>1609</v>
      </c>
      <c r="C354" t="s">
        <v>9</v>
      </c>
      <c r="D354" s="4">
        <v>3.0956658684492998E-2</v>
      </c>
      <c r="E354" s="3">
        <v>1061818.6194275699</v>
      </c>
      <c r="F354" s="3">
        <f>E354/7.8</f>
        <v>136130.59223430383</v>
      </c>
      <c r="G354" s="3">
        <f>F354/2</f>
        <v>68065.296117151913</v>
      </c>
      <c r="H354" t="s">
        <v>468</v>
      </c>
      <c r="I354" t="s">
        <v>469</v>
      </c>
      <c r="J354" t="s">
        <v>470</v>
      </c>
      <c r="K354">
        <v>14.03</v>
      </c>
      <c r="L354">
        <v>2.8090000000000002</v>
      </c>
      <c r="M354" s="1">
        <v>10</v>
      </c>
      <c r="N354" s="1" t="s">
        <v>444</v>
      </c>
    </row>
    <row r="355" spans="1:14" x14ac:dyDescent="0.25">
      <c r="A355" t="s">
        <v>1744</v>
      </c>
      <c r="B355" t="s">
        <v>1609</v>
      </c>
      <c r="C355" t="s">
        <v>448</v>
      </c>
      <c r="D355" s="4">
        <v>3.9663254205007499E-2</v>
      </c>
      <c r="E355" s="3">
        <v>129227.26385033299</v>
      </c>
      <c r="H355" t="s">
        <v>421</v>
      </c>
      <c r="I355" t="s">
        <v>471</v>
      </c>
      <c r="J355" t="s">
        <v>472</v>
      </c>
      <c r="K355">
        <v>7.01</v>
      </c>
      <c r="L355">
        <v>2.8090000000000002</v>
      </c>
      <c r="M355" s="1">
        <v>10</v>
      </c>
      <c r="N355" s="1" t="s">
        <v>444</v>
      </c>
    </row>
    <row r="356" spans="1:14" x14ac:dyDescent="0.25">
      <c r="A356" t="s">
        <v>1761</v>
      </c>
      <c r="B356" t="s">
        <v>1609</v>
      </c>
      <c r="C356" t="s">
        <v>9</v>
      </c>
      <c r="D356" s="4">
        <v>2.8682456007291902E-2</v>
      </c>
      <c r="E356" s="3">
        <v>8815940.7565019708</v>
      </c>
      <c r="F356" s="3">
        <f>E356/7.8</f>
        <v>1130248.8149361501</v>
      </c>
      <c r="G356" s="3">
        <f>F356/2</f>
        <v>565124.40746807505</v>
      </c>
      <c r="H356" t="s">
        <v>136</v>
      </c>
      <c r="I356" t="s">
        <v>477</v>
      </c>
      <c r="J356" t="s">
        <v>478</v>
      </c>
      <c r="K356">
        <v>13.39</v>
      </c>
      <c r="L356">
        <v>2.8359999999999999</v>
      </c>
      <c r="M356" s="1">
        <v>100</v>
      </c>
      <c r="N356" s="1" t="s">
        <v>444</v>
      </c>
    </row>
    <row r="357" spans="1:14" x14ac:dyDescent="0.25">
      <c r="A357" t="s">
        <v>1761</v>
      </c>
      <c r="B357" t="s">
        <v>1609</v>
      </c>
      <c r="C357" t="s">
        <v>448</v>
      </c>
      <c r="D357" s="4">
        <v>4.278766916889E-2</v>
      </c>
      <c r="E357" s="3">
        <v>1070980.7107365599</v>
      </c>
      <c r="H357" t="s">
        <v>479</v>
      </c>
      <c r="I357" t="s">
        <v>480</v>
      </c>
      <c r="J357" t="s">
        <v>481</v>
      </c>
      <c r="K357">
        <v>8.2899999999999991</v>
      </c>
      <c r="L357">
        <v>2.8359999999999999</v>
      </c>
      <c r="M357" s="1">
        <v>100</v>
      </c>
      <c r="N357" s="1" t="s">
        <v>444</v>
      </c>
    </row>
    <row r="358" spans="1:14" x14ac:dyDescent="0.25">
      <c r="A358" t="s">
        <v>1762</v>
      </c>
      <c r="B358" t="s">
        <v>1609</v>
      </c>
      <c r="C358" t="s">
        <v>9</v>
      </c>
      <c r="D358" s="4">
        <v>2.7152535103019401E-2</v>
      </c>
      <c r="E358" s="3">
        <v>461839.02458894701</v>
      </c>
      <c r="F358" s="3">
        <f>E358/7.8</f>
        <v>59210.131357557308</v>
      </c>
      <c r="G358" s="3">
        <f>F358/2</f>
        <v>29605.065678778654</v>
      </c>
      <c r="H358" t="s">
        <v>284</v>
      </c>
      <c r="I358" t="s">
        <v>102</v>
      </c>
      <c r="J358" t="s">
        <v>533</v>
      </c>
      <c r="K358">
        <v>13.39</v>
      </c>
      <c r="L358">
        <v>2.8220000000000001</v>
      </c>
      <c r="M358" s="1">
        <v>10</v>
      </c>
      <c r="N358" s="1" t="s">
        <v>444</v>
      </c>
    </row>
    <row r="359" spans="1:14" x14ac:dyDescent="0.25">
      <c r="A359" t="s">
        <v>1762</v>
      </c>
      <c r="B359" t="s">
        <v>1609</v>
      </c>
      <c r="C359" t="s">
        <v>448</v>
      </c>
      <c r="D359" s="4">
        <v>5.5566123792657997E-2</v>
      </c>
      <c r="E359" s="3">
        <v>59145.657453622</v>
      </c>
      <c r="H359" t="s">
        <v>284</v>
      </c>
      <c r="I359" t="s">
        <v>534</v>
      </c>
      <c r="J359" t="s">
        <v>535</v>
      </c>
      <c r="K359">
        <v>7.01</v>
      </c>
      <c r="L359">
        <v>2.8220000000000001</v>
      </c>
      <c r="M359" s="1">
        <v>10</v>
      </c>
      <c r="N359" s="1" t="s">
        <v>444</v>
      </c>
    </row>
    <row r="360" spans="1:14" x14ac:dyDescent="0.25">
      <c r="A360" t="s">
        <v>1763</v>
      </c>
      <c r="B360" t="s">
        <v>1609</v>
      </c>
      <c r="C360" t="s">
        <v>9</v>
      </c>
      <c r="D360" s="4">
        <v>3.3447281803684697E-2</v>
      </c>
      <c r="E360" s="3">
        <v>1284339.36770034</v>
      </c>
      <c r="F360" s="3">
        <f>E360/7.8</f>
        <v>164658.89329491538</v>
      </c>
      <c r="G360" s="3">
        <f>F360/2</f>
        <v>82329.446647457691</v>
      </c>
      <c r="H360" t="s">
        <v>67</v>
      </c>
      <c r="I360" t="s">
        <v>596</v>
      </c>
      <c r="J360" t="s">
        <v>597</v>
      </c>
      <c r="K360">
        <v>12.75</v>
      </c>
      <c r="L360">
        <v>2.62</v>
      </c>
      <c r="M360" s="1">
        <v>10</v>
      </c>
      <c r="N360" s="1" t="s">
        <v>444</v>
      </c>
    </row>
    <row r="361" spans="1:14" x14ac:dyDescent="0.25">
      <c r="A361" t="s">
        <v>1763</v>
      </c>
      <c r="B361" t="s">
        <v>1609</v>
      </c>
      <c r="C361" t="s">
        <v>448</v>
      </c>
      <c r="D361" s="4">
        <v>3.8804555349628803E-2</v>
      </c>
      <c r="E361" s="3">
        <v>147307.85355785501</v>
      </c>
      <c r="H361" t="s">
        <v>598</v>
      </c>
      <c r="I361" t="s">
        <v>599</v>
      </c>
      <c r="J361" t="s">
        <v>600</v>
      </c>
      <c r="K361">
        <v>7.01</v>
      </c>
      <c r="L361">
        <v>2.62</v>
      </c>
      <c r="M361" s="1">
        <v>10</v>
      </c>
      <c r="N361" s="1" t="s">
        <v>444</v>
      </c>
    </row>
    <row r="362" spans="1:14" x14ac:dyDescent="0.25">
      <c r="A362" t="s">
        <v>1766</v>
      </c>
      <c r="B362" t="s">
        <v>1609</v>
      </c>
      <c r="C362" t="s">
        <v>9</v>
      </c>
      <c r="D362" s="4">
        <v>2.7687358273078E-2</v>
      </c>
      <c r="E362" s="3">
        <v>4431986.58079194</v>
      </c>
      <c r="F362" s="3">
        <f>E362/7.8</f>
        <v>568203.40779383841</v>
      </c>
      <c r="G362" s="3">
        <f>F362/2</f>
        <v>284101.70389691921</v>
      </c>
      <c r="H362" t="s">
        <v>637</v>
      </c>
      <c r="I362" t="s">
        <v>638</v>
      </c>
      <c r="J362" t="s">
        <v>639</v>
      </c>
      <c r="K362">
        <v>13.39</v>
      </c>
      <c r="L362">
        <v>2.54</v>
      </c>
      <c r="M362" s="1">
        <v>100</v>
      </c>
      <c r="N362" s="1" t="s">
        <v>444</v>
      </c>
    </row>
    <row r="363" spans="1:14" x14ac:dyDescent="0.25">
      <c r="A363" t="s">
        <v>1766</v>
      </c>
      <c r="B363" t="s">
        <v>1609</v>
      </c>
      <c r="C363" t="s">
        <v>448</v>
      </c>
      <c r="D363" s="4">
        <v>5.4302609963319197E-2</v>
      </c>
      <c r="E363" s="3">
        <v>689222.15512926097</v>
      </c>
      <c r="H363" t="s">
        <v>486</v>
      </c>
      <c r="I363" t="s">
        <v>640</v>
      </c>
      <c r="J363" t="s">
        <v>641</v>
      </c>
      <c r="K363">
        <v>7.01</v>
      </c>
      <c r="L363">
        <v>2.54</v>
      </c>
      <c r="M363" s="1">
        <v>100</v>
      </c>
      <c r="N363" s="1" t="s">
        <v>444</v>
      </c>
    </row>
    <row r="364" spans="1:14" x14ac:dyDescent="0.25">
      <c r="A364" t="s">
        <v>1767</v>
      </c>
      <c r="B364" t="s">
        <v>1609</v>
      </c>
      <c r="C364" t="s">
        <v>9</v>
      </c>
      <c r="D364" s="4">
        <v>3.2763248694172097E-2</v>
      </c>
      <c r="E364" s="3">
        <v>1183419.6815126401</v>
      </c>
      <c r="F364" s="3">
        <f>E364/7.8</f>
        <v>151720.47198880001</v>
      </c>
      <c r="G364" s="3">
        <f>F364/2</f>
        <v>75860.235994400005</v>
      </c>
      <c r="H364" t="s">
        <v>297</v>
      </c>
      <c r="I364" t="s">
        <v>695</v>
      </c>
      <c r="J364" t="s">
        <v>696</v>
      </c>
      <c r="K364">
        <v>13.39</v>
      </c>
      <c r="L364">
        <v>2.76</v>
      </c>
      <c r="M364" s="1">
        <v>10</v>
      </c>
      <c r="N364" s="1" t="s">
        <v>444</v>
      </c>
    </row>
    <row r="365" spans="1:14" x14ac:dyDescent="0.25">
      <c r="A365" t="s">
        <v>1767</v>
      </c>
      <c r="B365" t="s">
        <v>1609</v>
      </c>
      <c r="C365" t="s">
        <v>448</v>
      </c>
      <c r="D365" s="4">
        <v>3.7931820568897302E-2</v>
      </c>
      <c r="E365" s="3">
        <v>147866.22082714399</v>
      </c>
      <c r="H365" t="s">
        <v>417</v>
      </c>
      <c r="I365" t="s">
        <v>697</v>
      </c>
      <c r="J365" t="s">
        <v>698</v>
      </c>
      <c r="K365">
        <v>7.01</v>
      </c>
      <c r="L365">
        <v>2.76</v>
      </c>
      <c r="M365" s="1">
        <v>10</v>
      </c>
      <c r="N365" s="1" t="s">
        <v>444</v>
      </c>
    </row>
    <row r="366" spans="1:14" x14ac:dyDescent="0.25">
      <c r="A366" t="s">
        <v>1799</v>
      </c>
      <c r="B366" t="s">
        <v>1609</v>
      </c>
      <c r="C366" t="s">
        <v>9</v>
      </c>
      <c r="D366" s="4">
        <v>2.9470782094785802E-2</v>
      </c>
      <c r="E366" s="3">
        <v>10090836.060068499</v>
      </c>
      <c r="F366" s="3">
        <f>E366/7.8</f>
        <v>1293696.9307780128</v>
      </c>
      <c r="G366" s="3">
        <f>F366/2</f>
        <v>646848.46538900642</v>
      </c>
      <c r="H366" t="s">
        <v>699</v>
      </c>
      <c r="I366" t="s">
        <v>700</v>
      </c>
      <c r="J366" t="s">
        <v>701</v>
      </c>
      <c r="K366">
        <v>12.11</v>
      </c>
      <c r="L366">
        <v>2.6760000000000002</v>
      </c>
      <c r="M366" s="1">
        <v>100</v>
      </c>
      <c r="N366" s="1" t="s">
        <v>444</v>
      </c>
    </row>
    <row r="367" spans="1:14" x14ac:dyDescent="0.25">
      <c r="A367" t="s">
        <v>1799</v>
      </c>
      <c r="B367" t="s">
        <v>1609</v>
      </c>
      <c r="C367" t="s">
        <v>448</v>
      </c>
      <c r="D367" s="4">
        <v>3.9468690278752501E-2</v>
      </c>
      <c r="E367" s="3">
        <v>1372035.0181345299</v>
      </c>
      <c r="H367" t="s">
        <v>82</v>
      </c>
      <c r="I367" t="s">
        <v>702</v>
      </c>
      <c r="J367" t="s">
        <v>703</v>
      </c>
      <c r="K367">
        <v>7.01</v>
      </c>
      <c r="L367">
        <v>2.6760000000000002</v>
      </c>
      <c r="M367" s="1">
        <v>100</v>
      </c>
      <c r="N367" s="1" t="s">
        <v>444</v>
      </c>
    </row>
    <row r="368" spans="1:14" x14ac:dyDescent="0.25">
      <c r="A368" t="s">
        <v>1800</v>
      </c>
      <c r="B368" t="s">
        <v>1609</v>
      </c>
      <c r="C368" t="s">
        <v>9</v>
      </c>
      <c r="D368" s="4">
        <v>5.864421204175E-2</v>
      </c>
      <c r="E368" s="3">
        <v>576857.19935837202</v>
      </c>
      <c r="F368" s="3">
        <f>E368/7.8</f>
        <v>73956.051199791284</v>
      </c>
      <c r="G368" s="3">
        <f>F368/2</f>
        <v>36978.025599895642</v>
      </c>
      <c r="H368" t="s">
        <v>114</v>
      </c>
      <c r="I368" t="s">
        <v>642</v>
      </c>
      <c r="J368" t="s">
        <v>643</v>
      </c>
      <c r="K368">
        <v>12.75</v>
      </c>
      <c r="L368">
        <v>2.5710000000000002</v>
      </c>
      <c r="M368" s="1">
        <v>100</v>
      </c>
      <c r="N368" s="1" t="s">
        <v>444</v>
      </c>
    </row>
    <row r="369" spans="1:14" x14ac:dyDescent="0.25">
      <c r="A369" t="s">
        <v>1800</v>
      </c>
      <c r="B369" t="s">
        <v>1609</v>
      </c>
      <c r="C369" t="s">
        <v>448</v>
      </c>
      <c r="D369" s="4">
        <v>0.14988540205637499</v>
      </c>
      <c r="E369" s="3">
        <v>82909.473652956396</v>
      </c>
      <c r="H369" t="s">
        <v>114</v>
      </c>
      <c r="I369" t="s">
        <v>644</v>
      </c>
      <c r="J369" t="s">
        <v>645</v>
      </c>
      <c r="K369">
        <v>9.56</v>
      </c>
      <c r="L369">
        <v>2.5710000000000002</v>
      </c>
      <c r="M369" s="1">
        <v>100</v>
      </c>
      <c r="N369" s="1" t="s">
        <v>444</v>
      </c>
    </row>
    <row r="370" spans="1:14" x14ac:dyDescent="0.25">
      <c r="A370" t="s">
        <v>1801</v>
      </c>
      <c r="B370" t="s">
        <v>1609</v>
      </c>
      <c r="C370" t="s">
        <v>9</v>
      </c>
      <c r="D370" s="4">
        <v>3.1828299522451101E-2</v>
      </c>
      <c r="E370" s="3">
        <v>2530906.7043368798</v>
      </c>
      <c r="F370" s="3">
        <f>E370/7.8</f>
        <v>324475.21850472817</v>
      </c>
      <c r="G370" s="3">
        <f>F370/2</f>
        <v>162237.60925236408</v>
      </c>
      <c r="H370" t="s">
        <v>38</v>
      </c>
      <c r="I370" t="s">
        <v>601</v>
      </c>
      <c r="J370" t="s">
        <v>602</v>
      </c>
      <c r="K370">
        <v>10.84</v>
      </c>
      <c r="L370">
        <v>2.589</v>
      </c>
      <c r="M370" s="1">
        <v>100</v>
      </c>
      <c r="N370" s="1" t="s">
        <v>444</v>
      </c>
    </row>
    <row r="371" spans="1:14" x14ac:dyDescent="0.25">
      <c r="A371" t="s">
        <v>1801</v>
      </c>
      <c r="B371" t="s">
        <v>1609</v>
      </c>
      <c r="C371" t="s">
        <v>448</v>
      </c>
      <c r="D371" s="4">
        <v>7.9118229631792006E-2</v>
      </c>
      <c r="E371" s="3">
        <v>303715.94754142902</v>
      </c>
      <c r="H371" t="s">
        <v>240</v>
      </c>
      <c r="I371" t="s">
        <v>603</v>
      </c>
      <c r="J371" t="s">
        <v>604</v>
      </c>
      <c r="K371">
        <v>7.01</v>
      </c>
      <c r="L371">
        <v>2.589</v>
      </c>
      <c r="M371" s="1">
        <v>100</v>
      </c>
      <c r="N371" s="1" t="s">
        <v>444</v>
      </c>
    </row>
    <row r="372" spans="1:14" x14ac:dyDescent="0.25">
      <c r="A372" t="s">
        <v>1802</v>
      </c>
      <c r="B372" t="s">
        <v>1609</v>
      </c>
      <c r="C372" t="s">
        <v>9</v>
      </c>
      <c r="D372" s="4">
        <v>2.8080508808741099E-2</v>
      </c>
      <c r="E372" s="3">
        <v>3682559.0015778099</v>
      </c>
      <c r="F372" s="3">
        <f>E372/7.8</f>
        <v>472122.94892023207</v>
      </c>
      <c r="G372" s="3">
        <f>F372/2</f>
        <v>236061.47446011603</v>
      </c>
      <c r="H372" t="s">
        <v>329</v>
      </c>
      <c r="I372" t="s">
        <v>536</v>
      </c>
      <c r="J372" t="s">
        <v>537</v>
      </c>
      <c r="K372">
        <v>12.11</v>
      </c>
      <c r="L372">
        <v>2.8410000000000002</v>
      </c>
      <c r="M372" s="1">
        <v>100</v>
      </c>
      <c r="N372" s="1" t="s">
        <v>444</v>
      </c>
    </row>
    <row r="373" spans="1:14" x14ac:dyDescent="0.25">
      <c r="A373" t="s">
        <v>1802</v>
      </c>
      <c r="B373" t="s">
        <v>1609</v>
      </c>
      <c r="C373" t="s">
        <v>448</v>
      </c>
      <c r="D373" s="4">
        <v>6.06197299881958E-2</v>
      </c>
      <c r="E373" s="3">
        <v>485122.81410665298</v>
      </c>
      <c r="H373" t="s">
        <v>329</v>
      </c>
      <c r="I373" t="s">
        <v>538</v>
      </c>
      <c r="J373" t="s">
        <v>539</v>
      </c>
      <c r="K373">
        <v>7.01</v>
      </c>
      <c r="L373">
        <v>2.8410000000000002</v>
      </c>
      <c r="M373" s="1">
        <v>100</v>
      </c>
      <c r="N373" s="1" t="s">
        <v>444</v>
      </c>
    </row>
    <row r="374" spans="1:14" x14ac:dyDescent="0.25">
      <c r="A374" t="s">
        <v>1808</v>
      </c>
      <c r="B374" t="s">
        <v>1609</v>
      </c>
      <c r="C374" t="s">
        <v>9</v>
      </c>
      <c r="D374" s="4">
        <v>2.9567008579342201E-2</v>
      </c>
      <c r="E374" s="3">
        <v>1026531.86804409</v>
      </c>
      <c r="F374" s="3">
        <f>E374/7.8</f>
        <v>131606.64974924232</v>
      </c>
      <c r="G374" s="3">
        <f>F374/2</f>
        <v>65803.324874621161</v>
      </c>
      <c r="H374" t="s">
        <v>71</v>
      </c>
      <c r="I374" t="s">
        <v>704</v>
      </c>
      <c r="J374" t="s">
        <v>705</v>
      </c>
      <c r="K374">
        <v>14.66</v>
      </c>
      <c r="L374">
        <v>2.6360000000000001</v>
      </c>
      <c r="M374" s="1">
        <v>10</v>
      </c>
      <c r="N374" s="1" t="s">
        <v>444</v>
      </c>
    </row>
    <row r="375" spans="1:14" x14ac:dyDescent="0.25">
      <c r="A375" t="s">
        <v>1808</v>
      </c>
      <c r="B375" t="s">
        <v>1609</v>
      </c>
      <c r="C375" t="s">
        <v>448</v>
      </c>
      <c r="D375" s="4">
        <v>4.02769002126789E-2</v>
      </c>
      <c r="E375" s="3">
        <v>133927.27051802201</v>
      </c>
      <c r="H375" t="s">
        <v>706</v>
      </c>
      <c r="I375" t="s">
        <v>707</v>
      </c>
      <c r="J375" t="s">
        <v>708</v>
      </c>
      <c r="K375">
        <v>7.01</v>
      </c>
      <c r="L375">
        <v>2.6360000000000001</v>
      </c>
      <c r="M375" s="1">
        <v>10</v>
      </c>
      <c r="N375" s="1" t="s">
        <v>444</v>
      </c>
    </row>
    <row r="376" spans="1:14" x14ac:dyDescent="0.25">
      <c r="A376" t="s">
        <v>1809</v>
      </c>
      <c r="B376" t="s">
        <v>1609</v>
      </c>
      <c r="C376" t="s">
        <v>9</v>
      </c>
      <c r="D376" s="4">
        <v>2.7803888927435599E-2</v>
      </c>
      <c r="E376" s="3">
        <v>4128254.8670957698</v>
      </c>
      <c r="F376" s="3">
        <f>E376/7.8</f>
        <v>529263.44449945772</v>
      </c>
      <c r="G376" s="3">
        <f>F376/2</f>
        <v>264631.72224972886</v>
      </c>
      <c r="H376" t="s">
        <v>227</v>
      </c>
      <c r="I376" t="s">
        <v>646</v>
      </c>
      <c r="J376" t="s">
        <v>647</v>
      </c>
      <c r="K376">
        <v>10.84</v>
      </c>
      <c r="L376">
        <v>2.6749999999999998</v>
      </c>
      <c r="M376" s="1">
        <v>100</v>
      </c>
      <c r="N376" s="1" t="s">
        <v>444</v>
      </c>
    </row>
    <row r="377" spans="1:14" x14ac:dyDescent="0.25">
      <c r="A377" t="s">
        <v>1809</v>
      </c>
      <c r="B377" t="s">
        <v>1609</v>
      </c>
      <c r="C377" t="s">
        <v>448</v>
      </c>
      <c r="D377" s="4">
        <v>6.0969110916200303E-2</v>
      </c>
      <c r="E377" s="3">
        <v>509567.930902461</v>
      </c>
      <c r="H377" t="s">
        <v>67</v>
      </c>
      <c r="I377" t="s">
        <v>648</v>
      </c>
      <c r="J377" t="s">
        <v>649</v>
      </c>
      <c r="K377">
        <v>7.01</v>
      </c>
      <c r="L377">
        <v>2.6749999999999998</v>
      </c>
      <c r="M377" s="1">
        <v>100</v>
      </c>
      <c r="N377" s="1" t="s">
        <v>444</v>
      </c>
    </row>
    <row r="378" spans="1:14" x14ac:dyDescent="0.25">
      <c r="A378" t="s">
        <v>1818</v>
      </c>
      <c r="B378" t="s">
        <v>1609</v>
      </c>
      <c r="C378" t="s">
        <v>9</v>
      </c>
      <c r="D378" s="4">
        <v>2.68860329843689E-2</v>
      </c>
      <c r="E378" s="3">
        <v>687486.42149094399</v>
      </c>
      <c r="F378" s="3">
        <f>E378/7.8</f>
        <v>88139.284806531286</v>
      </c>
      <c r="G378" s="3">
        <f>F378/2</f>
        <v>44069.642403265643</v>
      </c>
      <c r="H378" t="s">
        <v>162</v>
      </c>
      <c r="I378" t="s">
        <v>605</v>
      </c>
      <c r="J378" t="s">
        <v>606</v>
      </c>
      <c r="K378">
        <v>12.11</v>
      </c>
      <c r="L378">
        <v>2.6320000000000001</v>
      </c>
      <c r="M378" s="1">
        <v>10</v>
      </c>
      <c r="N378" s="1" t="s">
        <v>444</v>
      </c>
    </row>
    <row r="379" spans="1:14" x14ac:dyDescent="0.25">
      <c r="A379" t="s">
        <v>1818</v>
      </c>
      <c r="B379" t="s">
        <v>1609</v>
      </c>
      <c r="C379" t="s">
        <v>448</v>
      </c>
      <c r="D379" s="4">
        <v>5.0051127304455503E-2</v>
      </c>
      <c r="E379" s="3">
        <v>80031.829761089801</v>
      </c>
      <c r="H379" t="s">
        <v>552</v>
      </c>
      <c r="I379" t="s">
        <v>607</v>
      </c>
      <c r="J379" t="s">
        <v>608</v>
      </c>
      <c r="K379">
        <v>7.65</v>
      </c>
      <c r="L379">
        <v>2.6320000000000001</v>
      </c>
      <c r="M379" s="1">
        <v>10</v>
      </c>
      <c r="N379" s="1" t="s">
        <v>444</v>
      </c>
    </row>
    <row r="380" spans="1:14" x14ac:dyDescent="0.25">
      <c r="A380" t="s">
        <v>1819</v>
      </c>
      <c r="B380" t="s">
        <v>1609</v>
      </c>
      <c r="C380" t="s">
        <v>9</v>
      </c>
      <c r="D380" s="4">
        <v>3.3122160180567899E-2</v>
      </c>
      <c r="E380" s="3">
        <v>1221322.17420619</v>
      </c>
      <c r="F380" s="3">
        <f>E380/7.8</f>
        <v>156579.76592387052</v>
      </c>
      <c r="G380" s="3">
        <f>F380/2</f>
        <v>78289.882961935262</v>
      </c>
      <c r="H380" t="s">
        <v>516</v>
      </c>
      <c r="I380" t="s">
        <v>540</v>
      </c>
      <c r="J380" t="s">
        <v>179</v>
      </c>
      <c r="K380">
        <v>14.66</v>
      </c>
      <c r="L380">
        <v>2.718</v>
      </c>
      <c r="M380" s="1">
        <v>10</v>
      </c>
      <c r="N380" s="1" t="s">
        <v>444</v>
      </c>
    </row>
    <row r="381" spans="1:14" x14ac:dyDescent="0.25">
      <c r="A381" t="s">
        <v>1819</v>
      </c>
      <c r="B381" t="s">
        <v>1609</v>
      </c>
      <c r="C381" t="s">
        <v>448</v>
      </c>
      <c r="D381" s="4">
        <v>3.8430758864064399E-2</v>
      </c>
      <c r="E381" s="3">
        <v>145401.28115793699</v>
      </c>
      <c r="H381" t="s">
        <v>541</v>
      </c>
      <c r="I381" t="s">
        <v>542</v>
      </c>
      <c r="J381" t="s">
        <v>543</v>
      </c>
      <c r="K381">
        <v>7.01</v>
      </c>
      <c r="L381">
        <v>2.718</v>
      </c>
      <c r="M381" s="1">
        <v>10</v>
      </c>
      <c r="N381" s="1" t="s">
        <v>444</v>
      </c>
    </row>
    <row r="382" spans="1:14" x14ac:dyDescent="0.25">
      <c r="A382" t="s">
        <v>1820</v>
      </c>
      <c r="B382" t="s">
        <v>1609</v>
      </c>
      <c r="C382" t="s">
        <v>9</v>
      </c>
      <c r="D382" s="4">
        <v>2.6924050326881398E-2</v>
      </c>
      <c r="E382" s="3">
        <v>680308.08374007698</v>
      </c>
      <c r="F382" s="3">
        <f>E382/7.8</f>
        <v>87218.98509488166</v>
      </c>
      <c r="G382" s="3">
        <f>F382/2</f>
        <v>43609.49254744083</v>
      </c>
      <c r="H382" t="s">
        <v>198</v>
      </c>
      <c r="I382" t="s">
        <v>482</v>
      </c>
      <c r="J382" t="s">
        <v>483</v>
      </c>
      <c r="K382">
        <v>12.11</v>
      </c>
      <c r="L382">
        <v>2.706</v>
      </c>
      <c r="M382" s="1">
        <v>10</v>
      </c>
      <c r="N382" s="1" t="s">
        <v>444</v>
      </c>
    </row>
    <row r="383" spans="1:14" x14ac:dyDescent="0.25">
      <c r="A383" t="s">
        <v>1820</v>
      </c>
      <c r="B383" t="s">
        <v>1609</v>
      </c>
      <c r="C383" t="s">
        <v>448</v>
      </c>
      <c r="D383" s="4">
        <v>4.70726524327209E-2</v>
      </c>
      <c r="E383" s="3">
        <v>89901.766422882807</v>
      </c>
      <c r="H383" t="s">
        <v>484</v>
      </c>
      <c r="I383" t="s">
        <v>485</v>
      </c>
      <c r="J383" t="s">
        <v>463</v>
      </c>
      <c r="K383">
        <v>7.01</v>
      </c>
      <c r="L383">
        <v>2.706</v>
      </c>
      <c r="M383" s="1">
        <v>10</v>
      </c>
      <c r="N383" s="1" t="s">
        <v>444</v>
      </c>
    </row>
    <row r="384" spans="1:14" x14ac:dyDescent="0.25">
      <c r="A384" t="s">
        <v>1845</v>
      </c>
      <c r="B384" t="s">
        <v>1609</v>
      </c>
      <c r="C384" t="s">
        <v>9</v>
      </c>
      <c r="D384" s="4">
        <v>2.7125435515951101E-2</v>
      </c>
      <c r="E384" s="3">
        <v>477227.030735265</v>
      </c>
      <c r="F384" s="3">
        <f>E384/7.8</f>
        <v>61182.952658367307</v>
      </c>
      <c r="G384" s="3">
        <f>F384/2</f>
        <v>30591.476329183653</v>
      </c>
      <c r="H384" t="s">
        <v>486</v>
      </c>
      <c r="I384" t="s">
        <v>487</v>
      </c>
      <c r="J384" t="s">
        <v>488</v>
      </c>
      <c r="K384">
        <v>12.11</v>
      </c>
      <c r="L384">
        <v>2.726</v>
      </c>
      <c r="M384" s="1">
        <v>10</v>
      </c>
      <c r="N384" s="1" t="s">
        <v>444</v>
      </c>
    </row>
    <row r="385" spans="1:14" x14ac:dyDescent="0.25">
      <c r="A385" t="s">
        <v>1845</v>
      </c>
      <c r="B385" t="s">
        <v>1609</v>
      </c>
      <c r="C385" t="s">
        <v>448</v>
      </c>
      <c r="D385" s="4">
        <v>5.8154505247735203E-2</v>
      </c>
      <c r="E385" s="3">
        <v>55401.267665047199</v>
      </c>
      <c r="H385" t="s">
        <v>114</v>
      </c>
      <c r="I385" t="s">
        <v>489</v>
      </c>
      <c r="J385" t="s">
        <v>490</v>
      </c>
      <c r="K385">
        <v>7.01</v>
      </c>
      <c r="L385">
        <v>2.726</v>
      </c>
      <c r="M385" s="1">
        <v>10</v>
      </c>
      <c r="N385" s="1" t="s">
        <v>444</v>
      </c>
    </row>
    <row r="386" spans="1:14" x14ac:dyDescent="0.25">
      <c r="A386" t="s">
        <v>1846</v>
      </c>
      <c r="B386" t="s">
        <v>1609</v>
      </c>
      <c r="C386" t="s">
        <v>9</v>
      </c>
      <c r="D386" s="4">
        <v>2.9116193251448701E-2</v>
      </c>
      <c r="E386" s="3">
        <v>98322.970237037705</v>
      </c>
      <c r="F386" s="3">
        <f>E386/7.8</f>
        <v>12605.509004748425</v>
      </c>
      <c r="G386" s="3">
        <f>F386/2</f>
        <v>6302.7545023742123</v>
      </c>
      <c r="H386" t="s">
        <v>103</v>
      </c>
      <c r="I386" t="s">
        <v>544</v>
      </c>
      <c r="J386" t="s">
        <v>545</v>
      </c>
      <c r="K386">
        <v>11.48</v>
      </c>
      <c r="L386">
        <v>2.6619999999999999</v>
      </c>
      <c r="M386" s="1" t="s">
        <v>20</v>
      </c>
      <c r="N386" s="1" t="s">
        <v>444</v>
      </c>
    </row>
    <row r="387" spans="1:14" x14ac:dyDescent="0.25">
      <c r="A387" t="s">
        <v>1846</v>
      </c>
      <c r="B387" t="s">
        <v>1609</v>
      </c>
      <c r="C387" t="s">
        <v>448</v>
      </c>
      <c r="D387" s="4">
        <v>4.20034395762868E-2</v>
      </c>
      <c r="E387" s="3">
        <v>11864.828273237499</v>
      </c>
      <c r="H387" t="s">
        <v>546</v>
      </c>
      <c r="I387" t="s">
        <v>547</v>
      </c>
      <c r="J387" t="s">
        <v>548</v>
      </c>
      <c r="K387">
        <v>7.01</v>
      </c>
      <c r="L387">
        <v>2.6619999999999999</v>
      </c>
      <c r="M387" s="1" t="s">
        <v>20</v>
      </c>
      <c r="N387" s="1" t="s">
        <v>444</v>
      </c>
    </row>
    <row r="388" spans="1:14" x14ac:dyDescent="0.25">
      <c r="A388" t="s">
        <v>1847</v>
      </c>
      <c r="B388" t="s">
        <v>1609</v>
      </c>
      <c r="C388" t="s">
        <v>9</v>
      </c>
      <c r="D388" s="4">
        <v>2.84361206485889E-2</v>
      </c>
      <c r="E388" s="3">
        <v>381438.29988582601</v>
      </c>
      <c r="F388" s="3">
        <f>E388/7.8</f>
        <v>48902.346139208465</v>
      </c>
      <c r="G388" s="3">
        <f>F388/2</f>
        <v>24451.173069604232</v>
      </c>
      <c r="H388" t="s">
        <v>103</v>
      </c>
      <c r="I388" t="s">
        <v>609</v>
      </c>
      <c r="J388" t="s">
        <v>610</v>
      </c>
      <c r="K388">
        <v>12.11</v>
      </c>
      <c r="L388">
        <v>2.585</v>
      </c>
      <c r="M388" s="1">
        <v>10</v>
      </c>
      <c r="N388" s="1" t="s">
        <v>444</v>
      </c>
    </row>
    <row r="389" spans="1:14" x14ac:dyDescent="0.25">
      <c r="A389" t="s">
        <v>1847</v>
      </c>
      <c r="B389" t="s">
        <v>1609</v>
      </c>
      <c r="C389" t="s">
        <v>448</v>
      </c>
      <c r="D389" s="4">
        <v>6.3102518035122707E-2</v>
      </c>
      <c r="E389" s="3">
        <v>48994.195200063798</v>
      </c>
      <c r="H389" t="s">
        <v>294</v>
      </c>
      <c r="I389" t="s">
        <v>611</v>
      </c>
      <c r="J389" t="s">
        <v>612</v>
      </c>
      <c r="K389">
        <v>7.01</v>
      </c>
      <c r="L389">
        <v>2.585</v>
      </c>
      <c r="M389" s="1">
        <v>10</v>
      </c>
      <c r="N389" s="1" t="s">
        <v>444</v>
      </c>
    </row>
    <row r="390" spans="1:14" x14ac:dyDescent="0.25">
      <c r="A390" t="s">
        <v>1850</v>
      </c>
      <c r="B390" t="s">
        <v>1609</v>
      </c>
      <c r="C390" t="s">
        <v>9</v>
      </c>
      <c r="D390" s="4">
        <v>2.9465534130215802E-2</v>
      </c>
      <c r="E390" s="3">
        <v>3182057.1263964898</v>
      </c>
      <c r="F390" s="3">
        <f>E390/7.8</f>
        <v>407956.04184570385</v>
      </c>
      <c r="G390" s="3">
        <f>F390/2</f>
        <v>203978.02092285192</v>
      </c>
      <c r="H390" t="s">
        <v>38</v>
      </c>
      <c r="I390" t="s">
        <v>709</v>
      </c>
      <c r="J390" t="s">
        <v>710</v>
      </c>
      <c r="K390">
        <v>15.94</v>
      </c>
      <c r="L390">
        <v>2.677</v>
      </c>
      <c r="M390" s="1">
        <v>100</v>
      </c>
      <c r="N390" s="1" t="s">
        <v>444</v>
      </c>
    </row>
    <row r="391" spans="1:14" x14ac:dyDescent="0.25">
      <c r="A391" t="s">
        <v>1850</v>
      </c>
      <c r="B391" t="s">
        <v>1609</v>
      </c>
      <c r="C391" t="s">
        <v>448</v>
      </c>
      <c r="D391" s="4">
        <v>7.1405843183967505E-2</v>
      </c>
      <c r="E391" s="3">
        <v>363857.62743264902</v>
      </c>
      <c r="H391" t="s">
        <v>38</v>
      </c>
      <c r="I391" t="s">
        <v>711</v>
      </c>
      <c r="J391" t="s">
        <v>712</v>
      </c>
      <c r="K391">
        <v>7.01</v>
      </c>
      <c r="L391">
        <v>2.677</v>
      </c>
      <c r="M391" s="1">
        <v>100</v>
      </c>
      <c r="N391" s="1" t="s">
        <v>444</v>
      </c>
    </row>
    <row r="392" spans="1:14" x14ac:dyDescent="0.25">
      <c r="A392" t="s">
        <v>1872</v>
      </c>
      <c r="B392" t="s">
        <v>1609</v>
      </c>
      <c r="C392" t="s">
        <v>9</v>
      </c>
      <c r="D392" s="4">
        <v>3.04789541739795E-2</v>
      </c>
      <c r="E392" s="3">
        <v>10742912.1742587</v>
      </c>
      <c r="F392" s="3">
        <f>E392/7.8</f>
        <v>1377296.4325972693</v>
      </c>
      <c r="G392" s="3">
        <f>F392/2</f>
        <v>688648.21629863465</v>
      </c>
      <c r="H392" t="s">
        <v>227</v>
      </c>
      <c r="I392" t="s">
        <v>713</v>
      </c>
      <c r="J392" t="s">
        <v>714</v>
      </c>
      <c r="K392">
        <v>14.66</v>
      </c>
      <c r="L392">
        <v>2.694</v>
      </c>
      <c r="M392" s="1">
        <v>100</v>
      </c>
      <c r="N392" s="1" t="s">
        <v>444</v>
      </c>
    </row>
    <row r="393" spans="1:14" x14ac:dyDescent="0.25">
      <c r="A393" t="s">
        <v>1872</v>
      </c>
      <c r="B393" t="s">
        <v>1609</v>
      </c>
      <c r="C393" t="s">
        <v>448</v>
      </c>
      <c r="D393" s="4">
        <v>4.2947098155897603E-2</v>
      </c>
      <c r="E393" s="3">
        <v>1115297.0500312101</v>
      </c>
      <c r="H393" t="s">
        <v>127</v>
      </c>
      <c r="I393" t="s">
        <v>715</v>
      </c>
      <c r="J393" t="s">
        <v>716</v>
      </c>
      <c r="K393">
        <v>7.01</v>
      </c>
      <c r="L393">
        <v>2.694</v>
      </c>
      <c r="M393" s="1">
        <v>100</v>
      </c>
      <c r="N393" s="1" t="s">
        <v>444</v>
      </c>
    </row>
    <row r="394" spans="1:14" x14ac:dyDescent="0.25">
      <c r="A394" t="s">
        <v>1873</v>
      </c>
      <c r="B394" t="s">
        <v>1609</v>
      </c>
      <c r="C394" t="s">
        <v>9</v>
      </c>
      <c r="D394" s="4">
        <v>2.6813158970128401E-2</v>
      </c>
      <c r="E394" s="3">
        <v>567749.66367083404</v>
      </c>
      <c r="F394" s="3">
        <f>E394/7.8</f>
        <v>72788.4184193377</v>
      </c>
      <c r="G394" s="3">
        <f>F394/2</f>
        <v>36394.20920966885</v>
      </c>
      <c r="H394" t="s">
        <v>76</v>
      </c>
      <c r="I394" t="s">
        <v>650</v>
      </c>
      <c r="J394" t="s">
        <v>651</v>
      </c>
      <c r="K394">
        <v>12.11</v>
      </c>
      <c r="L394">
        <v>2.7669999999999999</v>
      </c>
      <c r="M394" s="1">
        <v>10</v>
      </c>
      <c r="N394" s="1" t="s">
        <v>444</v>
      </c>
    </row>
    <row r="395" spans="1:14" x14ac:dyDescent="0.25">
      <c r="A395" t="s">
        <v>1873</v>
      </c>
      <c r="B395" t="s">
        <v>1609</v>
      </c>
      <c r="C395" t="s">
        <v>448</v>
      </c>
      <c r="D395" s="4">
        <v>5.4977499011978299E-2</v>
      </c>
      <c r="E395" s="3">
        <v>61922.216331252901</v>
      </c>
      <c r="H395" t="s">
        <v>634</v>
      </c>
      <c r="I395" t="s">
        <v>652</v>
      </c>
      <c r="J395" t="s">
        <v>653</v>
      </c>
      <c r="K395">
        <v>8.2899999999999991</v>
      </c>
      <c r="L395">
        <v>2.7669999999999999</v>
      </c>
      <c r="M395" s="1">
        <v>10</v>
      </c>
      <c r="N395" s="1" t="s">
        <v>444</v>
      </c>
    </row>
    <row r="396" spans="1:14" x14ac:dyDescent="0.25">
      <c r="A396" t="s">
        <v>1875</v>
      </c>
      <c r="B396" t="s">
        <v>1609</v>
      </c>
      <c r="C396" t="s">
        <v>9</v>
      </c>
      <c r="D396" s="4">
        <v>2.9215018575642002E-2</v>
      </c>
      <c r="E396" s="3">
        <v>33068.0398521897</v>
      </c>
      <c r="F396" s="3">
        <f>E396/7.8</f>
        <v>4239.492288742269</v>
      </c>
      <c r="G396" s="3">
        <f>F396/2</f>
        <v>2119.7461443711345</v>
      </c>
      <c r="H396" t="s">
        <v>71</v>
      </c>
      <c r="I396" t="s">
        <v>613</v>
      </c>
      <c r="J396" t="s">
        <v>614</v>
      </c>
      <c r="K396">
        <v>15.3</v>
      </c>
      <c r="L396">
        <v>2.6779999999999999</v>
      </c>
      <c r="M396" s="1" t="s">
        <v>20</v>
      </c>
      <c r="N396" s="1" t="s">
        <v>444</v>
      </c>
    </row>
    <row r="397" spans="1:14" x14ac:dyDescent="0.25">
      <c r="A397" t="s">
        <v>1875</v>
      </c>
      <c r="B397" t="s">
        <v>1609</v>
      </c>
      <c r="C397" t="s">
        <v>448</v>
      </c>
      <c r="D397" s="4">
        <v>6.96749121163803E-2</v>
      </c>
      <c r="E397" s="3">
        <v>3843.2097131663099</v>
      </c>
      <c r="H397" t="s">
        <v>347</v>
      </c>
      <c r="I397" t="s">
        <v>425</v>
      </c>
      <c r="J397" t="s">
        <v>615</v>
      </c>
      <c r="K397">
        <v>7.01</v>
      </c>
      <c r="L397">
        <v>2.6779999999999999</v>
      </c>
      <c r="M397" s="1" t="s">
        <v>20</v>
      </c>
      <c r="N397" s="1" t="s">
        <v>444</v>
      </c>
    </row>
    <row r="398" spans="1:14" x14ac:dyDescent="0.25">
      <c r="A398" t="s">
        <v>1876</v>
      </c>
      <c r="B398" t="s">
        <v>1609</v>
      </c>
      <c r="C398" t="s">
        <v>9</v>
      </c>
      <c r="D398" s="4">
        <v>4.53213194967403E-2</v>
      </c>
      <c r="E398" s="3">
        <v>9998.9294267878595</v>
      </c>
      <c r="F398" s="3">
        <f>E398/7.8</f>
        <v>1281.9140290753667</v>
      </c>
      <c r="G398" s="3">
        <f>F398/2</f>
        <v>640.95701453768334</v>
      </c>
      <c r="H398" t="s">
        <v>549</v>
      </c>
      <c r="I398" t="s">
        <v>550</v>
      </c>
      <c r="J398" t="s">
        <v>551</v>
      </c>
      <c r="K398">
        <v>12.11</v>
      </c>
      <c r="L398">
        <v>2.6619999999999999</v>
      </c>
      <c r="M398" s="1" t="s">
        <v>20</v>
      </c>
      <c r="N398" s="1" t="s">
        <v>444</v>
      </c>
    </row>
    <row r="399" spans="1:14" x14ac:dyDescent="0.25">
      <c r="A399" t="s">
        <v>1876</v>
      </c>
      <c r="B399" t="s">
        <v>1609</v>
      </c>
      <c r="C399" t="s">
        <v>448</v>
      </c>
      <c r="D399" s="4">
        <v>0.13125356052835199</v>
      </c>
      <c r="E399" s="3">
        <v>1050.3087842059599</v>
      </c>
      <c r="H399" t="s">
        <v>552</v>
      </c>
      <c r="I399" t="s">
        <v>553</v>
      </c>
      <c r="J399" t="s">
        <v>554</v>
      </c>
      <c r="K399">
        <v>8.2899999999999991</v>
      </c>
      <c r="L399">
        <v>2.6619999999999999</v>
      </c>
      <c r="M399" s="1" t="s">
        <v>20</v>
      </c>
      <c r="N399" s="1" t="s">
        <v>444</v>
      </c>
    </row>
    <row r="400" spans="1:14" x14ac:dyDescent="0.25">
      <c r="A400" t="s">
        <v>1877</v>
      </c>
      <c r="B400" t="s">
        <v>1609</v>
      </c>
      <c r="C400" t="s">
        <v>9</v>
      </c>
      <c r="D400" s="4">
        <v>2.7381950245057102E-2</v>
      </c>
      <c r="E400" s="3">
        <v>44295.542148142798</v>
      </c>
      <c r="F400" s="3">
        <f>E400/7.8</f>
        <v>5678.9156600183078</v>
      </c>
      <c r="G400" s="3">
        <f>F400/2</f>
        <v>2839.4578300091539</v>
      </c>
      <c r="H400" t="s">
        <v>491</v>
      </c>
      <c r="I400" t="s">
        <v>492</v>
      </c>
      <c r="J400" t="s">
        <v>288</v>
      </c>
      <c r="K400">
        <v>10.84</v>
      </c>
      <c r="L400">
        <v>2.726</v>
      </c>
      <c r="M400" s="1" t="s">
        <v>20</v>
      </c>
      <c r="N400" s="1" t="s">
        <v>444</v>
      </c>
    </row>
    <row r="401" spans="1:14" x14ac:dyDescent="0.25">
      <c r="A401" t="s">
        <v>1877</v>
      </c>
      <c r="B401" t="s">
        <v>1609</v>
      </c>
      <c r="C401" t="s">
        <v>448</v>
      </c>
      <c r="D401" s="4">
        <v>0.105529553265934</v>
      </c>
      <c r="E401" s="3">
        <v>1591.2050698769899</v>
      </c>
      <c r="H401" t="s">
        <v>491</v>
      </c>
      <c r="I401" t="s">
        <v>493</v>
      </c>
      <c r="J401" t="s">
        <v>494</v>
      </c>
      <c r="K401">
        <v>7.65</v>
      </c>
      <c r="L401">
        <v>2.726</v>
      </c>
      <c r="M401" s="1" t="s">
        <v>20</v>
      </c>
      <c r="N401" s="1" t="s">
        <v>444</v>
      </c>
    </row>
    <row r="402" spans="1:14" x14ac:dyDescent="0.25">
      <c r="A402" t="s">
        <v>1888</v>
      </c>
      <c r="B402" t="s">
        <v>1609</v>
      </c>
      <c r="C402" t="s">
        <v>9</v>
      </c>
      <c r="D402" s="4">
        <v>2.8669933818028299E-2</v>
      </c>
      <c r="E402" s="3">
        <v>95365.473518205399</v>
      </c>
      <c r="F402" s="3">
        <f>E402/7.8</f>
        <v>12226.342758744282</v>
      </c>
      <c r="G402" s="3">
        <f>F402/2</f>
        <v>6113.171379372141</v>
      </c>
      <c r="H402" t="s">
        <v>284</v>
      </c>
      <c r="I402" t="s">
        <v>678</v>
      </c>
      <c r="J402" t="s">
        <v>478</v>
      </c>
      <c r="K402">
        <v>12.11</v>
      </c>
      <c r="L402">
        <v>2.6230000000000002</v>
      </c>
      <c r="M402" s="1" t="s">
        <v>20</v>
      </c>
      <c r="N402" s="1" t="s">
        <v>444</v>
      </c>
    </row>
    <row r="403" spans="1:14" x14ac:dyDescent="0.25">
      <c r="A403" t="s">
        <v>1888</v>
      </c>
      <c r="B403" t="s">
        <v>1609</v>
      </c>
      <c r="C403" t="s">
        <v>448</v>
      </c>
      <c r="D403" s="4">
        <v>4.1505892605733098E-2</v>
      </c>
      <c r="E403" s="3">
        <v>12389.949723821401</v>
      </c>
      <c r="H403" t="s">
        <v>546</v>
      </c>
      <c r="I403" t="s">
        <v>679</v>
      </c>
      <c r="J403" t="s">
        <v>52</v>
      </c>
      <c r="K403">
        <v>8.2899999999999991</v>
      </c>
      <c r="L403">
        <v>2.6230000000000002</v>
      </c>
      <c r="M403" s="1" t="s">
        <v>20</v>
      </c>
      <c r="N403" s="1" t="s">
        <v>444</v>
      </c>
    </row>
    <row r="404" spans="1:14" x14ac:dyDescent="0.25">
      <c r="A404" t="s">
        <v>1891</v>
      </c>
      <c r="B404" t="s">
        <v>1609</v>
      </c>
      <c r="C404" t="s">
        <v>9</v>
      </c>
      <c r="D404" s="4">
        <v>3.3488583598760002E-2</v>
      </c>
      <c r="E404" s="3">
        <v>1238026.1164200299</v>
      </c>
      <c r="F404" s="3">
        <f>E404/7.8</f>
        <v>158721.29697692691</v>
      </c>
      <c r="G404" s="3">
        <f>F404/2</f>
        <v>79360.648488463456</v>
      </c>
      <c r="H404" t="s">
        <v>108</v>
      </c>
      <c r="I404" t="s">
        <v>726</v>
      </c>
      <c r="J404" t="s">
        <v>727</v>
      </c>
      <c r="K404">
        <v>12.11</v>
      </c>
      <c r="L404">
        <v>2.7240000000000002</v>
      </c>
      <c r="M404" s="1">
        <v>10</v>
      </c>
      <c r="N404" s="1" t="s">
        <v>444</v>
      </c>
    </row>
    <row r="405" spans="1:14" x14ac:dyDescent="0.25">
      <c r="A405" t="s">
        <v>1891</v>
      </c>
      <c r="B405" t="s">
        <v>1609</v>
      </c>
      <c r="C405" t="s">
        <v>448</v>
      </c>
      <c r="D405" s="4">
        <v>3.72836338905526E-2</v>
      </c>
      <c r="E405" s="3">
        <v>157788.42792515401</v>
      </c>
      <c r="H405" t="s">
        <v>728</v>
      </c>
      <c r="I405" t="s">
        <v>729</v>
      </c>
      <c r="J405" t="s">
        <v>730</v>
      </c>
      <c r="K405">
        <v>7.01</v>
      </c>
      <c r="L405">
        <v>2.7240000000000002</v>
      </c>
      <c r="M405" s="1">
        <v>10</v>
      </c>
      <c r="N405" s="1" t="s">
        <v>444</v>
      </c>
    </row>
    <row r="406" spans="1:14" x14ac:dyDescent="0.25">
      <c r="A406" t="s">
        <v>1893</v>
      </c>
      <c r="B406" t="s">
        <v>1609</v>
      </c>
      <c r="C406" t="s">
        <v>9</v>
      </c>
      <c r="D406" s="4">
        <v>2.74204031032141E-2</v>
      </c>
      <c r="E406" s="3">
        <v>44131.965541595499</v>
      </c>
      <c r="F406" s="3">
        <f>E406/7.8</f>
        <v>5657.9443002045509</v>
      </c>
      <c r="G406" s="3">
        <f>F406/2</f>
        <v>2828.9721501022755</v>
      </c>
      <c r="H406" t="s">
        <v>308</v>
      </c>
      <c r="I406" t="s">
        <v>742</v>
      </c>
      <c r="J406" t="s">
        <v>743</v>
      </c>
      <c r="K406">
        <v>10.84</v>
      </c>
      <c r="L406">
        <v>2.7280000000000002</v>
      </c>
      <c r="M406" s="1" t="s">
        <v>20</v>
      </c>
      <c r="N406" s="1" t="s">
        <v>444</v>
      </c>
    </row>
    <row r="407" spans="1:14" x14ac:dyDescent="0.25">
      <c r="A407" t="s">
        <v>1893</v>
      </c>
      <c r="B407" t="s">
        <v>1609</v>
      </c>
      <c r="C407" t="s">
        <v>448</v>
      </c>
      <c r="D407" s="4">
        <v>5.6174594543866599E-2</v>
      </c>
      <c r="E407" s="3">
        <v>5970.0310752124997</v>
      </c>
      <c r="H407" t="s">
        <v>162</v>
      </c>
      <c r="I407" t="s">
        <v>432</v>
      </c>
      <c r="J407" t="s">
        <v>744</v>
      </c>
      <c r="K407">
        <v>7.01</v>
      </c>
      <c r="L407">
        <v>2.7280000000000002</v>
      </c>
      <c r="M407" s="1" t="s">
        <v>20</v>
      </c>
      <c r="N407" s="1" t="s">
        <v>444</v>
      </c>
    </row>
    <row r="408" spans="1:14" x14ac:dyDescent="0.25">
      <c r="A408" t="s">
        <v>1907</v>
      </c>
      <c r="B408" t="s">
        <v>1609</v>
      </c>
      <c r="C408" t="s">
        <v>9</v>
      </c>
      <c r="D408" s="4">
        <v>2.70564617533515E-2</v>
      </c>
      <c r="E408" s="3">
        <v>69732.321492638395</v>
      </c>
      <c r="F408" s="3">
        <f>E408/7.8</f>
        <v>8940.0412170049221</v>
      </c>
      <c r="G408" s="3">
        <f>F408/2</f>
        <v>4470.0206085024611</v>
      </c>
      <c r="H408" t="s">
        <v>745</v>
      </c>
      <c r="I408" t="s">
        <v>746</v>
      </c>
      <c r="J408" t="s">
        <v>747</v>
      </c>
      <c r="K408">
        <v>12.11</v>
      </c>
      <c r="L408">
        <v>2.734</v>
      </c>
      <c r="M408" s="1" t="s">
        <v>20</v>
      </c>
      <c r="N408" s="1" t="s">
        <v>444</v>
      </c>
    </row>
    <row r="409" spans="1:14" x14ac:dyDescent="0.25">
      <c r="A409" t="s">
        <v>1907</v>
      </c>
      <c r="B409" t="s">
        <v>1609</v>
      </c>
      <c r="C409" t="s">
        <v>448</v>
      </c>
      <c r="D409" s="4">
        <v>4.8765914038778002E-2</v>
      </c>
      <c r="E409" s="3">
        <v>8224.6235353884294</v>
      </c>
      <c r="H409" t="s">
        <v>670</v>
      </c>
      <c r="I409" t="s">
        <v>748</v>
      </c>
      <c r="J409" t="s">
        <v>749</v>
      </c>
      <c r="K409">
        <v>7.01</v>
      </c>
      <c r="L409">
        <v>2.734</v>
      </c>
      <c r="M409" s="1" t="s">
        <v>20</v>
      </c>
      <c r="N409" s="1" t="s">
        <v>444</v>
      </c>
    </row>
    <row r="410" spans="1:14" x14ac:dyDescent="0.25">
      <c r="A410" t="s">
        <v>1908</v>
      </c>
      <c r="B410" t="s">
        <v>1609</v>
      </c>
      <c r="C410" t="s">
        <v>9</v>
      </c>
      <c r="D410" s="4">
        <v>4.0551680151690001E-2</v>
      </c>
      <c r="E410" s="3">
        <v>1536748.8033717701</v>
      </c>
      <c r="F410" s="3">
        <f>E410/7.8</f>
        <v>197019.07735535514</v>
      </c>
      <c r="G410" s="3">
        <f>F410/2</f>
        <v>98509.53867767757</v>
      </c>
      <c r="H410" t="s">
        <v>198</v>
      </c>
      <c r="I410" t="s">
        <v>564</v>
      </c>
      <c r="J410" t="s">
        <v>731</v>
      </c>
      <c r="K410">
        <v>14.66</v>
      </c>
      <c r="L410">
        <v>2.706</v>
      </c>
      <c r="M410" s="1">
        <v>10</v>
      </c>
      <c r="N410" s="1" t="s">
        <v>444</v>
      </c>
    </row>
    <row r="411" spans="1:14" x14ac:dyDescent="0.25">
      <c r="A411" t="s">
        <v>1908</v>
      </c>
      <c r="B411" t="s">
        <v>1609</v>
      </c>
      <c r="C411" t="s">
        <v>448</v>
      </c>
      <c r="D411" s="4">
        <v>3.60935572358052E-2</v>
      </c>
      <c r="E411" s="3">
        <v>172521.29116292199</v>
      </c>
      <c r="H411" t="s">
        <v>732</v>
      </c>
      <c r="I411" t="s">
        <v>733</v>
      </c>
      <c r="J411" t="s">
        <v>734</v>
      </c>
      <c r="K411">
        <v>7.65</v>
      </c>
      <c r="L411">
        <v>2.706</v>
      </c>
      <c r="M411" s="1">
        <v>10</v>
      </c>
      <c r="N411" s="1" t="s">
        <v>444</v>
      </c>
    </row>
    <row r="412" spans="1:14" x14ac:dyDescent="0.25">
      <c r="A412" t="s">
        <v>1909</v>
      </c>
      <c r="B412" t="s">
        <v>1609</v>
      </c>
      <c r="C412" t="s">
        <v>9</v>
      </c>
      <c r="D412" s="4">
        <v>3.5566936000064497E-2</v>
      </c>
      <c r="E412" s="3">
        <v>136966.34513642199</v>
      </c>
      <c r="F412" s="3">
        <f>E412/7.8</f>
        <v>17559.78783800282</v>
      </c>
      <c r="G412" s="3">
        <f>F412/2</f>
        <v>8779.8939190014098</v>
      </c>
      <c r="H412" t="s">
        <v>546</v>
      </c>
      <c r="I412" t="s">
        <v>680</v>
      </c>
      <c r="J412" t="s">
        <v>54</v>
      </c>
      <c r="K412">
        <v>13.39</v>
      </c>
      <c r="L412">
        <v>2.65</v>
      </c>
      <c r="M412" s="1" t="s">
        <v>20</v>
      </c>
      <c r="N412" s="1" t="s">
        <v>444</v>
      </c>
    </row>
    <row r="413" spans="1:14" x14ac:dyDescent="0.25">
      <c r="A413" t="s">
        <v>1909</v>
      </c>
      <c r="B413" t="s">
        <v>1609</v>
      </c>
      <c r="C413" t="s">
        <v>448</v>
      </c>
      <c r="D413" s="4">
        <v>3.8850556937881198E-2</v>
      </c>
      <c r="E413" s="3">
        <v>14589.8766398345</v>
      </c>
      <c r="H413" t="s">
        <v>681</v>
      </c>
      <c r="I413" t="s">
        <v>682</v>
      </c>
      <c r="J413" t="s">
        <v>683</v>
      </c>
      <c r="K413">
        <v>7.01</v>
      </c>
      <c r="L413">
        <v>2.65</v>
      </c>
      <c r="M413" s="1" t="s">
        <v>20</v>
      </c>
      <c r="N413" s="1" t="s">
        <v>444</v>
      </c>
    </row>
    <row r="414" spans="1:14" x14ac:dyDescent="0.25">
      <c r="A414" t="s">
        <v>1911</v>
      </c>
      <c r="B414" t="s">
        <v>1609</v>
      </c>
      <c r="C414" t="s">
        <v>9</v>
      </c>
      <c r="D414" s="4">
        <v>2.7013892230357599E-2</v>
      </c>
      <c r="E414" s="3">
        <v>50526.932143958998</v>
      </c>
      <c r="F414" s="3">
        <f>E414/7.8</f>
        <v>6477.8118133280768</v>
      </c>
      <c r="G414" s="3">
        <f>F414/2</f>
        <v>3238.9059066640384</v>
      </c>
      <c r="H414" t="s">
        <v>103</v>
      </c>
      <c r="I414" t="s">
        <v>593</v>
      </c>
      <c r="J414" t="s">
        <v>51</v>
      </c>
      <c r="K414">
        <v>10.84</v>
      </c>
      <c r="L414">
        <v>2.6749999999999998</v>
      </c>
      <c r="M414" s="1" t="s">
        <v>20</v>
      </c>
      <c r="N414" s="1" t="s">
        <v>444</v>
      </c>
    </row>
    <row r="415" spans="1:14" x14ac:dyDescent="0.25">
      <c r="A415" t="s">
        <v>1911</v>
      </c>
      <c r="B415" t="s">
        <v>1609</v>
      </c>
      <c r="C415" t="s">
        <v>448</v>
      </c>
      <c r="D415" s="4">
        <v>6.0764665130331602E-2</v>
      </c>
      <c r="E415" s="3">
        <v>5133.8934095648001</v>
      </c>
      <c r="H415" t="s">
        <v>27</v>
      </c>
      <c r="I415" t="s">
        <v>594</v>
      </c>
      <c r="J415" t="s">
        <v>595</v>
      </c>
      <c r="K415">
        <v>7.01</v>
      </c>
      <c r="L415">
        <v>2.6749999999999998</v>
      </c>
      <c r="M415" s="1" t="s">
        <v>20</v>
      </c>
      <c r="N415" s="1" t="s">
        <v>444</v>
      </c>
    </row>
    <row r="416" spans="1:14" x14ac:dyDescent="0.25">
      <c r="A416" t="s">
        <v>1913</v>
      </c>
      <c r="B416" t="s">
        <v>1609</v>
      </c>
      <c r="C416" t="s">
        <v>9</v>
      </c>
      <c r="D416" s="4">
        <v>3.2958749290288802E-2</v>
      </c>
      <c r="E416" s="3">
        <v>20996.565337981199</v>
      </c>
      <c r="F416" s="3">
        <f>E416/7.8</f>
        <v>2691.8673510232306</v>
      </c>
      <c r="G416" s="3">
        <f>F416/2</f>
        <v>1345.9336755116153</v>
      </c>
      <c r="H416" t="s">
        <v>546</v>
      </c>
      <c r="I416" t="s">
        <v>566</v>
      </c>
      <c r="J416" t="s">
        <v>567</v>
      </c>
      <c r="K416">
        <v>10.84</v>
      </c>
      <c r="L416">
        <v>2.8279999999999998</v>
      </c>
      <c r="M416" s="1" t="s">
        <v>20</v>
      </c>
      <c r="N416" s="1" t="s">
        <v>444</v>
      </c>
    </row>
    <row r="417" spans="1:14" x14ac:dyDescent="0.25">
      <c r="A417" t="s">
        <v>1913</v>
      </c>
      <c r="B417" t="s">
        <v>1609</v>
      </c>
      <c r="C417" t="s">
        <v>448</v>
      </c>
      <c r="D417" s="4">
        <v>0.108064463656721</v>
      </c>
      <c r="E417" s="3">
        <v>1469.3546282898801</v>
      </c>
      <c r="H417" t="s">
        <v>546</v>
      </c>
      <c r="I417" t="s">
        <v>31</v>
      </c>
      <c r="J417" t="s">
        <v>285</v>
      </c>
      <c r="K417">
        <v>8.93</v>
      </c>
      <c r="L417">
        <v>2.8279999999999998</v>
      </c>
      <c r="M417" s="1" t="s">
        <v>20</v>
      </c>
      <c r="N417" s="1" t="s">
        <v>444</v>
      </c>
    </row>
    <row r="418" spans="1:14" x14ac:dyDescent="0.25">
      <c r="A418" t="s">
        <v>1914</v>
      </c>
      <c r="B418" t="s">
        <v>1609</v>
      </c>
      <c r="C418" t="s">
        <v>9</v>
      </c>
      <c r="D418" s="4">
        <v>3.5682794563704399E-2</v>
      </c>
      <c r="E418" s="3">
        <v>17433.752419199802</v>
      </c>
      <c r="F418" s="3">
        <f>E418/7.8</f>
        <v>2235.0964639999747</v>
      </c>
      <c r="G418" s="3">
        <f>F418/2</f>
        <v>1117.5482319999874</v>
      </c>
      <c r="H418" t="s">
        <v>508</v>
      </c>
      <c r="I418" t="s">
        <v>509</v>
      </c>
      <c r="J418" t="s">
        <v>510</v>
      </c>
      <c r="K418">
        <v>13.39</v>
      </c>
      <c r="L418">
        <v>2.7639999999999998</v>
      </c>
      <c r="M418" s="1" t="s">
        <v>20</v>
      </c>
      <c r="N418" s="1" t="s">
        <v>444</v>
      </c>
    </row>
    <row r="419" spans="1:14" x14ac:dyDescent="0.25">
      <c r="A419" t="s">
        <v>1914</v>
      </c>
      <c r="B419" t="s">
        <v>1609</v>
      </c>
      <c r="C419" t="s">
        <v>448</v>
      </c>
      <c r="D419" s="4">
        <v>0.101765908315944</v>
      </c>
      <c r="E419" s="3">
        <v>1693.6852075730001</v>
      </c>
      <c r="H419" t="s">
        <v>308</v>
      </c>
      <c r="I419" t="s">
        <v>511</v>
      </c>
      <c r="J419" t="s">
        <v>512</v>
      </c>
      <c r="K419">
        <v>8.2899999999999991</v>
      </c>
      <c r="L419">
        <v>2.7639999999999998</v>
      </c>
      <c r="M419" s="1" t="s">
        <v>20</v>
      </c>
      <c r="N419" s="1" t="s">
        <v>444</v>
      </c>
    </row>
    <row r="420" spans="1:14" x14ac:dyDescent="0.25">
      <c r="A420" t="s">
        <v>1915</v>
      </c>
      <c r="B420" t="s">
        <v>1609</v>
      </c>
      <c r="C420" t="s">
        <v>9</v>
      </c>
      <c r="D420" s="4">
        <v>3.05672714619196E-2</v>
      </c>
      <c r="E420" s="3">
        <v>103652.231916326</v>
      </c>
      <c r="F420" s="3">
        <f>E420/7.8</f>
        <v>13288.747681580257</v>
      </c>
      <c r="G420" s="3">
        <f>F420/2</f>
        <v>6644.3738407901283</v>
      </c>
      <c r="H420" t="s">
        <v>421</v>
      </c>
      <c r="I420" t="s">
        <v>457</v>
      </c>
      <c r="J420" t="s">
        <v>458</v>
      </c>
      <c r="K420">
        <v>12.11</v>
      </c>
      <c r="L420">
        <v>2.7959999999999998</v>
      </c>
      <c r="M420" s="1" t="s">
        <v>20</v>
      </c>
      <c r="N420" s="1" t="s">
        <v>444</v>
      </c>
    </row>
    <row r="421" spans="1:14" x14ac:dyDescent="0.25">
      <c r="A421" t="s">
        <v>1915</v>
      </c>
      <c r="B421" t="s">
        <v>1609</v>
      </c>
      <c r="C421" t="s">
        <v>448</v>
      </c>
      <c r="D421" s="4">
        <v>4.0864130505846002E-2</v>
      </c>
      <c r="E421" s="3">
        <v>12143.5356397134</v>
      </c>
      <c r="H421" t="s">
        <v>50</v>
      </c>
      <c r="I421" t="s">
        <v>459</v>
      </c>
      <c r="J421" t="s">
        <v>460</v>
      </c>
      <c r="K421">
        <v>7.01</v>
      </c>
      <c r="L421">
        <v>2.7959999999999998</v>
      </c>
      <c r="M421" s="1" t="s">
        <v>20</v>
      </c>
      <c r="N421" s="1" t="s">
        <v>444</v>
      </c>
    </row>
    <row r="422" spans="1:14" x14ac:dyDescent="0.25">
      <c r="A422" t="s">
        <v>1929</v>
      </c>
      <c r="B422" t="s">
        <v>1609</v>
      </c>
      <c r="C422" t="s">
        <v>9</v>
      </c>
      <c r="D422" s="4">
        <v>2.7421698054172099E-2</v>
      </c>
      <c r="E422" s="3">
        <v>76502.514620949107</v>
      </c>
      <c r="F422" s="3">
        <f>E422/7.8</f>
        <v>9808.0146949934751</v>
      </c>
      <c r="G422" s="3">
        <f>F422/2</f>
        <v>4904.0073474967376</v>
      </c>
      <c r="H422" t="s">
        <v>130</v>
      </c>
      <c r="I422" t="s">
        <v>495</v>
      </c>
      <c r="J422" t="s">
        <v>496</v>
      </c>
      <c r="K422">
        <v>12.11</v>
      </c>
      <c r="L422">
        <v>2.7570000000000001</v>
      </c>
      <c r="M422" s="1" t="s">
        <v>20</v>
      </c>
      <c r="N422" s="1" t="s">
        <v>444</v>
      </c>
    </row>
    <row r="423" spans="1:14" x14ac:dyDescent="0.25">
      <c r="A423" t="s">
        <v>1929</v>
      </c>
      <c r="B423" t="s">
        <v>1609</v>
      </c>
      <c r="C423" t="s">
        <v>448</v>
      </c>
      <c r="D423" s="4">
        <v>4.6227737751019501E-2</v>
      </c>
      <c r="E423" s="3">
        <v>9194.9866200243505</v>
      </c>
      <c r="H423" t="s">
        <v>273</v>
      </c>
      <c r="I423" t="s">
        <v>497</v>
      </c>
      <c r="J423" t="s">
        <v>498</v>
      </c>
      <c r="K423">
        <v>7.01</v>
      </c>
      <c r="L423">
        <v>2.7570000000000001</v>
      </c>
      <c r="M423" s="1" t="s">
        <v>20</v>
      </c>
      <c r="N423" s="1" t="s">
        <v>444</v>
      </c>
    </row>
    <row r="424" spans="1:14" x14ac:dyDescent="0.25">
      <c r="A424" t="s">
        <v>1930</v>
      </c>
      <c r="B424" t="s">
        <v>1609</v>
      </c>
      <c r="C424" t="s">
        <v>9</v>
      </c>
      <c r="D424" s="4">
        <v>2.6823577740710699E-2</v>
      </c>
      <c r="E424" s="3">
        <v>571390.77982174198</v>
      </c>
      <c r="F424" s="3">
        <f>E424/7.8</f>
        <v>73255.228182274615</v>
      </c>
      <c r="G424" s="3">
        <f>F424/2</f>
        <v>36627.614091137308</v>
      </c>
      <c r="H424" t="s">
        <v>56</v>
      </c>
      <c r="I424" t="s">
        <v>555</v>
      </c>
      <c r="J424" t="s">
        <v>556</v>
      </c>
      <c r="K424">
        <v>13.39</v>
      </c>
      <c r="L424">
        <v>2.661</v>
      </c>
      <c r="M424" s="1">
        <v>10</v>
      </c>
      <c r="N424" s="1" t="s">
        <v>444</v>
      </c>
    </row>
    <row r="425" spans="1:14" x14ac:dyDescent="0.25">
      <c r="A425" t="s">
        <v>1930</v>
      </c>
      <c r="B425" t="s">
        <v>1609</v>
      </c>
      <c r="C425" t="s">
        <v>448</v>
      </c>
      <c r="D425" s="4">
        <v>5.4261736170068402E-2</v>
      </c>
      <c r="E425" s="3">
        <v>66106.923154535107</v>
      </c>
      <c r="H425" t="s">
        <v>76</v>
      </c>
      <c r="I425" t="s">
        <v>557</v>
      </c>
      <c r="J425" t="s">
        <v>558</v>
      </c>
      <c r="K425">
        <v>7.01</v>
      </c>
      <c r="L425">
        <v>2.661</v>
      </c>
      <c r="M425" s="1">
        <v>10</v>
      </c>
      <c r="N425" s="1" t="s">
        <v>444</v>
      </c>
    </row>
    <row r="426" spans="1:14" x14ac:dyDescent="0.25">
      <c r="A426" t="s">
        <v>1933</v>
      </c>
      <c r="B426" t="s">
        <v>1609</v>
      </c>
      <c r="C426" t="s">
        <v>9</v>
      </c>
      <c r="D426" s="4">
        <v>6.7392688391096897E-2</v>
      </c>
      <c r="E426" s="3">
        <v>209315.40246771401</v>
      </c>
      <c r="F426" s="3">
        <f>E426/7.8</f>
        <v>26835.308008681284</v>
      </c>
      <c r="G426" s="3">
        <f>F426/2</f>
        <v>13417.654004340642</v>
      </c>
      <c r="H426" t="s">
        <v>141</v>
      </c>
      <c r="I426" t="s">
        <v>670</v>
      </c>
      <c r="J426" t="s">
        <v>671</v>
      </c>
      <c r="K426">
        <v>15.23</v>
      </c>
      <c r="L426">
        <v>2.7559999999999998</v>
      </c>
      <c r="M426" s="1" t="s">
        <v>20</v>
      </c>
      <c r="N426" s="1" t="s">
        <v>444</v>
      </c>
    </row>
    <row r="427" spans="1:14" x14ac:dyDescent="0.25">
      <c r="A427" t="s">
        <v>1933</v>
      </c>
      <c r="B427" t="s">
        <v>1609</v>
      </c>
      <c r="C427" t="s">
        <v>448</v>
      </c>
      <c r="D427" s="4">
        <v>3.06398107413644E-2</v>
      </c>
      <c r="E427" s="3">
        <v>27170.788844835399</v>
      </c>
      <c r="H427" t="s">
        <v>141</v>
      </c>
      <c r="I427" t="s">
        <v>672</v>
      </c>
      <c r="J427" t="s">
        <v>473</v>
      </c>
      <c r="K427">
        <v>7.01</v>
      </c>
      <c r="L427">
        <v>2.7559999999999998</v>
      </c>
      <c r="M427" s="1" t="s">
        <v>20</v>
      </c>
      <c r="N427" s="1" t="s">
        <v>444</v>
      </c>
    </row>
    <row r="428" spans="1:14" x14ac:dyDescent="0.25">
      <c r="A428" t="s">
        <v>1934</v>
      </c>
      <c r="B428" t="s">
        <v>1609</v>
      </c>
      <c r="C428" t="s">
        <v>9</v>
      </c>
      <c r="D428" s="4">
        <v>4.2629145112111098E-2</v>
      </c>
      <c r="E428" s="3">
        <v>11278.805126973301</v>
      </c>
      <c r="F428" s="3">
        <f>E428/7.8</f>
        <v>1446.0006573042692</v>
      </c>
      <c r="G428" s="3">
        <f>F428/2</f>
        <v>723.00032865213461</v>
      </c>
      <c r="H428" t="s">
        <v>381</v>
      </c>
      <c r="I428" t="s">
        <v>717</v>
      </c>
      <c r="J428" t="s">
        <v>562</v>
      </c>
      <c r="K428">
        <v>14.66</v>
      </c>
      <c r="L428">
        <v>2.714</v>
      </c>
      <c r="M428" s="1" t="s">
        <v>20</v>
      </c>
      <c r="N428" s="1" t="s">
        <v>444</v>
      </c>
    </row>
    <row r="429" spans="1:14" x14ac:dyDescent="0.25">
      <c r="A429" t="s">
        <v>1934</v>
      </c>
      <c r="B429" t="s">
        <v>1609</v>
      </c>
      <c r="C429" t="s">
        <v>448</v>
      </c>
      <c r="D429" s="4">
        <v>9.5762089099675193E-2</v>
      </c>
      <c r="E429" s="3">
        <v>1956.8549969179001</v>
      </c>
      <c r="H429" t="s">
        <v>124</v>
      </c>
      <c r="I429" t="s">
        <v>718</v>
      </c>
      <c r="J429" t="s">
        <v>719</v>
      </c>
      <c r="K429">
        <v>8.2899999999999991</v>
      </c>
      <c r="L429">
        <v>2.714</v>
      </c>
      <c r="M429" s="1" t="s">
        <v>20</v>
      </c>
      <c r="N429" s="1" t="s">
        <v>444</v>
      </c>
    </row>
    <row r="430" spans="1:14" x14ac:dyDescent="0.25">
      <c r="A430" t="s">
        <v>1936</v>
      </c>
      <c r="B430" t="s">
        <v>1609</v>
      </c>
      <c r="C430" t="s">
        <v>9</v>
      </c>
      <c r="D430" s="4">
        <v>3.3232977494687801E-2</v>
      </c>
      <c r="E430" s="3">
        <v>124564.298495978</v>
      </c>
      <c r="F430" s="3">
        <f>E430/7.8</f>
        <v>15969.781858458718</v>
      </c>
      <c r="G430" s="3">
        <f>F430/2</f>
        <v>7984.8909292293592</v>
      </c>
      <c r="H430" t="s">
        <v>227</v>
      </c>
      <c r="I430" t="s">
        <v>735</v>
      </c>
      <c r="J430" t="s">
        <v>736</v>
      </c>
      <c r="K430">
        <v>13.39</v>
      </c>
      <c r="L430">
        <v>2.6779999999999999</v>
      </c>
      <c r="M430" s="1" t="s">
        <v>20</v>
      </c>
      <c r="N430" s="1" t="s">
        <v>444</v>
      </c>
    </row>
    <row r="431" spans="1:14" x14ac:dyDescent="0.25">
      <c r="A431" t="s">
        <v>1936</v>
      </c>
      <c r="B431" t="s">
        <v>1609</v>
      </c>
      <c r="C431" t="s">
        <v>448</v>
      </c>
      <c r="D431" s="4">
        <v>3.81252025273063E-2</v>
      </c>
      <c r="E431" s="3">
        <v>15106.911778793499</v>
      </c>
      <c r="H431" t="s">
        <v>46</v>
      </c>
      <c r="I431" t="s">
        <v>737</v>
      </c>
      <c r="J431" t="s">
        <v>738</v>
      </c>
      <c r="K431">
        <v>7.01</v>
      </c>
      <c r="L431">
        <v>2.6779999999999999</v>
      </c>
      <c r="M431" s="1" t="s">
        <v>20</v>
      </c>
      <c r="N431" s="1" t="s">
        <v>444</v>
      </c>
    </row>
    <row r="432" spans="1:14" x14ac:dyDescent="0.25">
      <c r="A432" t="s">
        <v>1956</v>
      </c>
      <c r="B432" t="s">
        <v>1609</v>
      </c>
      <c r="C432" t="s">
        <v>9</v>
      </c>
      <c r="D432" s="4">
        <v>2.69657181852784E-2</v>
      </c>
      <c r="E432" s="3">
        <v>5044331.6204168396</v>
      </c>
      <c r="F432" s="3">
        <f>E432/7.8</f>
        <v>646709.18210472306</v>
      </c>
      <c r="G432" s="3">
        <f>F432/2</f>
        <v>323354.59105236153</v>
      </c>
      <c r="H432" t="s">
        <v>130</v>
      </c>
      <c r="I432" t="s">
        <v>720</v>
      </c>
      <c r="J432" t="s">
        <v>721</v>
      </c>
      <c r="K432">
        <v>15.94</v>
      </c>
      <c r="L432">
        <v>2.7789999999999999</v>
      </c>
      <c r="M432" s="1">
        <v>100</v>
      </c>
      <c r="N432" s="1" t="s">
        <v>444</v>
      </c>
    </row>
    <row r="433" spans="1:14" x14ac:dyDescent="0.25">
      <c r="A433" t="s">
        <v>1956</v>
      </c>
      <c r="B433" t="s">
        <v>1609</v>
      </c>
      <c r="C433" t="s">
        <v>448</v>
      </c>
      <c r="D433" s="4">
        <v>5.5879643863633199E-2</v>
      </c>
      <c r="E433" s="3">
        <v>595556.71896608802</v>
      </c>
      <c r="H433" t="s">
        <v>11</v>
      </c>
      <c r="I433" t="s">
        <v>722</v>
      </c>
      <c r="J433" t="s">
        <v>723</v>
      </c>
      <c r="K433">
        <v>7.01</v>
      </c>
      <c r="L433">
        <v>2.7789999999999999</v>
      </c>
      <c r="M433" s="1">
        <v>100</v>
      </c>
      <c r="N433" s="1" t="s">
        <v>444</v>
      </c>
    </row>
    <row r="434" spans="1:14" x14ac:dyDescent="0.25">
      <c r="A434" t="s">
        <v>1958</v>
      </c>
      <c r="B434" t="s">
        <v>1609</v>
      </c>
      <c r="C434" t="s">
        <v>9</v>
      </c>
      <c r="D434" s="4">
        <v>3.2464171813518301E-2</v>
      </c>
      <c r="E434" s="3">
        <v>11473007.4912233</v>
      </c>
      <c r="F434" s="3">
        <f>E434/7.8</f>
        <v>1470898.3963106796</v>
      </c>
      <c r="G434" s="3">
        <f>F434/2</f>
        <v>735449.19815533981</v>
      </c>
      <c r="H434" t="s">
        <v>150</v>
      </c>
      <c r="I434" t="s">
        <v>512</v>
      </c>
      <c r="J434" t="s">
        <v>673</v>
      </c>
      <c r="K434">
        <v>11.48</v>
      </c>
      <c r="L434">
        <v>2.8039999999999998</v>
      </c>
      <c r="M434" s="1">
        <v>100</v>
      </c>
      <c r="N434" s="1" t="s">
        <v>444</v>
      </c>
    </row>
    <row r="435" spans="1:14" x14ac:dyDescent="0.25">
      <c r="A435" t="s">
        <v>1958</v>
      </c>
      <c r="B435" t="s">
        <v>1609</v>
      </c>
      <c r="C435" t="s">
        <v>448</v>
      </c>
      <c r="D435" s="4">
        <v>3.83480292299316E-2</v>
      </c>
      <c r="E435" s="3">
        <v>1422563.6261446001</v>
      </c>
      <c r="H435" t="s">
        <v>435</v>
      </c>
      <c r="I435" t="s">
        <v>674</v>
      </c>
      <c r="J435" t="s">
        <v>675</v>
      </c>
      <c r="K435">
        <v>7.01</v>
      </c>
      <c r="L435">
        <v>2.8039999999999998</v>
      </c>
      <c r="M435" s="1">
        <v>100</v>
      </c>
      <c r="N435" s="1" t="s">
        <v>444</v>
      </c>
    </row>
    <row r="436" spans="1:14" x14ac:dyDescent="0.25">
      <c r="A436" t="s">
        <v>1959</v>
      </c>
      <c r="B436" t="s">
        <v>1609</v>
      </c>
      <c r="C436" t="s">
        <v>9</v>
      </c>
      <c r="D436" s="4">
        <v>2.8859325334391402E-2</v>
      </c>
      <c r="E436" s="3">
        <v>3339655.4022166301</v>
      </c>
      <c r="F436" s="3">
        <f>E436/7.8</f>
        <v>428160.94900213205</v>
      </c>
      <c r="G436" s="3">
        <f>F436/2</f>
        <v>214080.47450106603</v>
      </c>
      <c r="H436" t="s">
        <v>294</v>
      </c>
      <c r="I436" t="s">
        <v>499</v>
      </c>
      <c r="J436" t="s">
        <v>500</v>
      </c>
      <c r="K436">
        <v>13.39</v>
      </c>
      <c r="L436">
        <v>2.7749999999999999</v>
      </c>
      <c r="M436" s="1">
        <v>100</v>
      </c>
      <c r="N436" s="1" t="s">
        <v>444</v>
      </c>
    </row>
    <row r="437" spans="1:14" x14ac:dyDescent="0.25">
      <c r="A437" t="s">
        <v>1959</v>
      </c>
      <c r="B437" t="s">
        <v>1609</v>
      </c>
      <c r="C437" t="s">
        <v>448</v>
      </c>
      <c r="D437" s="4">
        <v>6.4412789863630901E-2</v>
      </c>
      <c r="E437" s="3">
        <v>437223.57438970997</v>
      </c>
      <c r="H437" t="s">
        <v>56</v>
      </c>
      <c r="I437" t="s">
        <v>501</v>
      </c>
      <c r="J437" t="s">
        <v>502</v>
      </c>
      <c r="K437">
        <v>7.01</v>
      </c>
      <c r="L437">
        <v>2.7749999999999999</v>
      </c>
      <c r="M437" s="1">
        <v>100</v>
      </c>
      <c r="N437" s="1" t="s">
        <v>444</v>
      </c>
    </row>
    <row r="438" spans="1:14" x14ac:dyDescent="0.25">
      <c r="A438" t="s">
        <v>1962</v>
      </c>
      <c r="B438" t="s">
        <v>1609</v>
      </c>
      <c r="C438" t="s">
        <v>9</v>
      </c>
      <c r="D438" s="4">
        <v>2.8976105189345801E-2</v>
      </c>
      <c r="E438" s="3">
        <v>982648.04108700401</v>
      </c>
      <c r="F438" s="3">
        <f>E438/7.8</f>
        <v>125980.51808807744</v>
      </c>
      <c r="G438" s="3">
        <f>F438/2</f>
        <v>62990.259044038721</v>
      </c>
      <c r="H438" t="s">
        <v>232</v>
      </c>
      <c r="I438" t="s">
        <v>559</v>
      </c>
      <c r="J438" t="s">
        <v>560</v>
      </c>
      <c r="K438">
        <v>15.94</v>
      </c>
      <c r="L438">
        <v>2.6230000000000002</v>
      </c>
      <c r="M438" s="1">
        <v>10</v>
      </c>
      <c r="N438" s="1" t="s">
        <v>444</v>
      </c>
    </row>
    <row r="439" spans="1:14" x14ac:dyDescent="0.25">
      <c r="A439" t="s">
        <v>1962</v>
      </c>
      <c r="B439" t="s">
        <v>1609</v>
      </c>
      <c r="C439" t="s">
        <v>448</v>
      </c>
      <c r="D439" s="4">
        <v>4.2570010741520198E-2</v>
      </c>
      <c r="E439" s="3">
        <v>116984.955550484</v>
      </c>
      <c r="H439" t="s">
        <v>204</v>
      </c>
      <c r="I439" t="s">
        <v>561</v>
      </c>
      <c r="J439" t="s">
        <v>562</v>
      </c>
      <c r="K439">
        <v>7.01</v>
      </c>
      <c r="L439">
        <v>2.6230000000000002</v>
      </c>
      <c r="M439" s="1">
        <v>10</v>
      </c>
      <c r="N439" s="1" t="s">
        <v>444</v>
      </c>
    </row>
    <row r="440" spans="1:14" x14ac:dyDescent="0.25">
      <c r="A440" t="s">
        <v>1976</v>
      </c>
      <c r="B440" t="s">
        <v>1609</v>
      </c>
      <c r="C440" t="s">
        <v>9</v>
      </c>
      <c r="D440" s="4">
        <v>3.2324699780676001E-2</v>
      </c>
      <c r="E440" s="3">
        <v>2308181.9577064998</v>
      </c>
      <c r="F440" s="3">
        <f>E440/7.8</f>
        <v>295920.76380852563</v>
      </c>
      <c r="G440" s="3">
        <f>F440/2</f>
        <v>147960.38190426282</v>
      </c>
      <c r="H440" t="s">
        <v>297</v>
      </c>
      <c r="I440" t="s">
        <v>739</v>
      </c>
      <c r="J440" t="s">
        <v>740</v>
      </c>
      <c r="K440">
        <v>15.94</v>
      </c>
      <c r="L440">
        <v>2.7120000000000002</v>
      </c>
      <c r="M440" s="1">
        <v>100</v>
      </c>
      <c r="N440" s="1" t="s">
        <v>444</v>
      </c>
    </row>
    <row r="441" spans="1:14" x14ac:dyDescent="0.25">
      <c r="A441" t="s">
        <v>1976</v>
      </c>
      <c r="B441" t="s">
        <v>1609</v>
      </c>
      <c r="C441" t="s">
        <v>448</v>
      </c>
      <c r="D441" s="4">
        <v>7.8294644153109494E-2</v>
      </c>
      <c r="E441" s="3">
        <v>296551.42136478599</v>
      </c>
      <c r="H441" t="s">
        <v>297</v>
      </c>
      <c r="I441" t="s">
        <v>741</v>
      </c>
      <c r="J441" t="s">
        <v>544</v>
      </c>
      <c r="K441">
        <v>8.2899999999999991</v>
      </c>
      <c r="L441">
        <v>2.7120000000000002</v>
      </c>
      <c r="M441" s="1">
        <v>100</v>
      </c>
      <c r="N441" s="1" t="s">
        <v>444</v>
      </c>
    </row>
    <row r="442" spans="1:14" x14ac:dyDescent="0.25">
      <c r="A442" t="s">
        <v>1977</v>
      </c>
      <c r="B442" t="s">
        <v>1609</v>
      </c>
      <c r="C442" t="s">
        <v>9</v>
      </c>
      <c r="D442" s="4">
        <v>2.9929126622433098E-2</v>
      </c>
      <c r="E442" s="3">
        <v>989060.24281326495</v>
      </c>
      <c r="F442" s="3">
        <f>E442/7.8</f>
        <v>126802.59523246987</v>
      </c>
      <c r="G442" s="3">
        <f>F442/2</f>
        <v>63401.297616234937</v>
      </c>
      <c r="H442" t="s">
        <v>82</v>
      </c>
      <c r="I442" t="s">
        <v>372</v>
      </c>
      <c r="J442" t="s">
        <v>724</v>
      </c>
      <c r="K442">
        <v>9.56</v>
      </c>
      <c r="L442">
        <v>2.8079999999999998</v>
      </c>
      <c r="M442" s="1">
        <v>10</v>
      </c>
      <c r="N442" s="1" t="s">
        <v>444</v>
      </c>
    </row>
    <row r="443" spans="1:14" x14ac:dyDescent="0.25">
      <c r="A443" t="s">
        <v>1977</v>
      </c>
      <c r="B443" t="s">
        <v>1609</v>
      </c>
      <c r="C443" t="s">
        <v>448</v>
      </c>
      <c r="D443" s="4">
        <v>4.1893517115874697E-2</v>
      </c>
      <c r="E443" s="3">
        <v>113945.86120819001</v>
      </c>
      <c r="H443" t="s">
        <v>622</v>
      </c>
      <c r="I443" t="s">
        <v>51</v>
      </c>
      <c r="J443" t="s">
        <v>725</v>
      </c>
      <c r="K443">
        <v>7.01</v>
      </c>
      <c r="L443">
        <v>2.8079999999999998</v>
      </c>
      <c r="M443" s="1">
        <v>10</v>
      </c>
      <c r="N443" s="1" t="s">
        <v>444</v>
      </c>
    </row>
    <row r="444" spans="1:14" x14ac:dyDescent="0.25">
      <c r="A444" t="s">
        <v>1978</v>
      </c>
      <c r="B444" t="s">
        <v>1609</v>
      </c>
      <c r="C444" t="s">
        <v>9</v>
      </c>
      <c r="D444" s="4">
        <v>5.2574511357887599E-2</v>
      </c>
      <c r="E444" s="3">
        <v>1857068.07896884</v>
      </c>
      <c r="F444" s="3">
        <f>E444/7.8</f>
        <v>238085.65114985127</v>
      </c>
      <c r="G444" s="3">
        <f>F444/2</f>
        <v>119042.82557492564</v>
      </c>
      <c r="H444" t="s">
        <v>516</v>
      </c>
      <c r="I444" t="s">
        <v>192</v>
      </c>
      <c r="J444" t="s">
        <v>366</v>
      </c>
      <c r="K444">
        <v>12.11</v>
      </c>
      <c r="L444">
        <v>2.7189999999999999</v>
      </c>
      <c r="M444" s="1">
        <v>10</v>
      </c>
      <c r="N444" s="1" t="s">
        <v>444</v>
      </c>
    </row>
    <row r="445" spans="1:14" x14ac:dyDescent="0.25">
      <c r="A445" t="s">
        <v>1978</v>
      </c>
      <c r="B445" t="s">
        <v>1609</v>
      </c>
      <c r="C445" t="s">
        <v>448</v>
      </c>
      <c r="D445" s="4">
        <v>3.1884197036697197E-2</v>
      </c>
      <c r="E445" s="3">
        <v>239862.94936736699</v>
      </c>
      <c r="H445" t="s">
        <v>516</v>
      </c>
      <c r="I445" t="s">
        <v>676</v>
      </c>
      <c r="J445" t="s">
        <v>677</v>
      </c>
      <c r="K445">
        <v>7.01</v>
      </c>
      <c r="L445">
        <v>2.7189999999999999</v>
      </c>
      <c r="M445" s="1">
        <v>10</v>
      </c>
      <c r="N445" s="1" t="s">
        <v>444</v>
      </c>
    </row>
    <row r="446" spans="1:14" x14ac:dyDescent="0.25">
      <c r="A446" t="s">
        <v>1991</v>
      </c>
      <c r="B446" t="s">
        <v>1609</v>
      </c>
      <c r="C446" t="s">
        <v>9</v>
      </c>
      <c r="D446" s="4">
        <v>5.7560727936134898E-2</v>
      </c>
      <c r="E446" s="3">
        <v>19471985.069199201</v>
      </c>
      <c r="F446" s="3">
        <f>E446/7.8</f>
        <v>2496408.3422050257</v>
      </c>
      <c r="G446" s="3">
        <f>F446/2</f>
        <v>1248204.1711025129</v>
      </c>
      <c r="H446" t="s">
        <v>17</v>
      </c>
      <c r="I446" t="s">
        <v>273</v>
      </c>
      <c r="J446" t="s">
        <v>587</v>
      </c>
      <c r="K446">
        <v>12.11</v>
      </c>
      <c r="L446">
        <v>2.734</v>
      </c>
      <c r="M446" s="1">
        <v>100</v>
      </c>
      <c r="N446" s="1" t="s">
        <v>444</v>
      </c>
    </row>
    <row r="447" spans="1:14" x14ac:dyDescent="0.25">
      <c r="A447" t="s">
        <v>1991</v>
      </c>
      <c r="B447" t="s">
        <v>1609</v>
      </c>
      <c r="C447" t="s">
        <v>448</v>
      </c>
      <c r="D447" s="4">
        <v>3.2070429830171603E-2</v>
      </c>
      <c r="E447" s="3">
        <v>2351361.6037882199</v>
      </c>
      <c r="H447" t="s">
        <v>17</v>
      </c>
      <c r="I447" t="s">
        <v>588</v>
      </c>
      <c r="J447" t="s">
        <v>589</v>
      </c>
      <c r="K447">
        <v>7.01</v>
      </c>
      <c r="L447">
        <v>2.734</v>
      </c>
      <c r="M447" s="1">
        <v>100</v>
      </c>
      <c r="N447" s="1" t="s">
        <v>444</v>
      </c>
    </row>
    <row r="448" spans="1:14" x14ac:dyDescent="0.25">
      <c r="A448" t="s">
        <v>1992</v>
      </c>
      <c r="B448" t="s">
        <v>1609</v>
      </c>
      <c r="C448" t="s">
        <v>9</v>
      </c>
      <c r="D448" s="4">
        <v>3.4513288603766699E-2</v>
      </c>
      <c r="E448" s="3">
        <v>12896228.9735859</v>
      </c>
      <c r="F448" s="3">
        <f>E448/7.8</f>
        <v>1653362.6889212693</v>
      </c>
      <c r="G448" s="3">
        <f>F448/2</f>
        <v>826681.34446063463</v>
      </c>
      <c r="H448" t="s">
        <v>240</v>
      </c>
      <c r="I448" t="s">
        <v>55</v>
      </c>
      <c r="J448" t="s">
        <v>563</v>
      </c>
      <c r="K448">
        <v>14.03</v>
      </c>
      <c r="L448">
        <v>2.72</v>
      </c>
      <c r="M448" s="1">
        <v>100</v>
      </c>
      <c r="N448" s="1" t="s">
        <v>444</v>
      </c>
    </row>
    <row r="449" spans="1:14" x14ac:dyDescent="0.25">
      <c r="A449" t="s">
        <v>1992</v>
      </c>
      <c r="B449" t="s">
        <v>1609</v>
      </c>
      <c r="C449" t="s">
        <v>448</v>
      </c>
      <c r="D449" s="4">
        <v>3.7944886573016298E-2</v>
      </c>
      <c r="E449" s="3">
        <v>1518130.62682687</v>
      </c>
      <c r="H449" t="s">
        <v>564</v>
      </c>
      <c r="I449" t="s">
        <v>22</v>
      </c>
      <c r="J449" t="s">
        <v>565</v>
      </c>
      <c r="K449">
        <v>7.01</v>
      </c>
      <c r="L449">
        <v>2.72</v>
      </c>
      <c r="M449" s="1">
        <v>100</v>
      </c>
      <c r="N449" s="1" t="s">
        <v>444</v>
      </c>
    </row>
    <row r="450" spans="1:14" x14ac:dyDescent="0.25">
      <c r="A450" t="s">
        <v>1994</v>
      </c>
      <c r="B450" t="s">
        <v>1609</v>
      </c>
      <c r="C450" t="s">
        <v>9</v>
      </c>
      <c r="D450" s="4">
        <v>2.68894258147746E-2</v>
      </c>
      <c r="E450" s="3">
        <v>5192192.9634282002</v>
      </c>
      <c r="F450" s="3">
        <f>E450/7.8</f>
        <v>665665.76454207697</v>
      </c>
      <c r="G450" s="3">
        <f>F450/2</f>
        <v>332832.88227103848</v>
      </c>
      <c r="H450" t="s">
        <v>169</v>
      </c>
      <c r="I450" t="s">
        <v>503</v>
      </c>
      <c r="J450" t="s">
        <v>504</v>
      </c>
      <c r="K450">
        <v>13.39</v>
      </c>
      <c r="L450">
        <v>2.8359999999999999</v>
      </c>
      <c r="M450" s="1">
        <v>100</v>
      </c>
      <c r="N450" s="1" t="s">
        <v>444</v>
      </c>
    </row>
    <row r="451" spans="1:14" x14ac:dyDescent="0.25">
      <c r="A451" t="s">
        <v>1994</v>
      </c>
      <c r="B451" t="s">
        <v>1609</v>
      </c>
      <c r="C451" t="s">
        <v>448</v>
      </c>
      <c r="D451" s="4">
        <v>5.3996074863733701E-2</v>
      </c>
      <c r="E451" s="3">
        <v>629339.51290206099</v>
      </c>
      <c r="H451" t="s">
        <v>505</v>
      </c>
      <c r="I451" t="s">
        <v>506</v>
      </c>
      <c r="J451" t="s">
        <v>507</v>
      </c>
      <c r="K451">
        <v>8.2899999999999991</v>
      </c>
      <c r="L451">
        <v>2.8359999999999999</v>
      </c>
      <c r="M451" s="1">
        <v>100</v>
      </c>
      <c r="N451" s="1" t="s">
        <v>444</v>
      </c>
    </row>
    <row r="452" spans="1:14" x14ac:dyDescent="0.25">
      <c r="A452" t="s">
        <v>1995</v>
      </c>
      <c r="B452" t="s">
        <v>1609</v>
      </c>
      <c r="C452" t="s">
        <v>9</v>
      </c>
      <c r="D452" s="4">
        <v>3.3436734291413299E-2</v>
      </c>
      <c r="E452" s="3">
        <v>1178255.04914378</v>
      </c>
      <c r="F452" s="3">
        <f>E452/7.8</f>
        <v>151058.33963381796</v>
      </c>
      <c r="G452" s="3">
        <f>F452/2</f>
        <v>75529.16981690898</v>
      </c>
      <c r="H452" t="s">
        <v>392</v>
      </c>
      <c r="I452" t="s">
        <v>449</v>
      </c>
      <c r="J452" t="s">
        <v>450</v>
      </c>
      <c r="K452">
        <v>14.66</v>
      </c>
      <c r="L452">
        <v>2.8370000000000002</v>
      </c>
      <c r="M452" s="1">
        <v>10</v>
      </c>
      <c r="N452" s="1" t="s">
        <v>444</v>
      </c>
    </row>
    <row r="453" spans="1:14" x14ac:dyDescent="0.25">
      <c r="A453" t="s">
        <v>1995</v>
      </c>
      <c r="B453" t="s">
        <v>1609</v>
      </c>
      <c r="C453" t="s">
        <v>448</v>
      </c>
      <c r="D453" s="4">
        <v>3.8450918321414097E-2</v>
      </c>
      <c r="E453" s="3">
        <v>140891.83952843599</v>
      </c>
      <c r="H453" t="s">
        <v>275</v>
      </c>
      <c r="I453" t="s">
        <v>451</v>
      </c>
      <c r="J453" t="s">
        <v>452</v>
      </c>
      <c r="K453">
        <v>7.01</v>
      </c>
      <c r="L453">
        <v>2.8370000000000002</v>
      </c>
      <c r="M453" s="1">
        <v>10</v>
      </c>
      <c r="N453" s="1" t="s">
        <v>444</v>
      </c>
    </row>
    <row r="454" spans="1:14" x14ac:dyDescent="0.25">
      <c r="A454" t="s">
        <v>2016</v>
      </c>
      <c r="B454" t="s">
        <v>1609</v>
      </c>
      <c r="C454" t="s">
        <v>9</v>
      </c>
      <c r="D454" s="4">
        <v>2.9256487288195E-2</v>
      </c>
      <c r="E454" s="3">
        <v>92966.734259026707</v>
      </c>
      <c r="F454" s="3">
        <f>E454/7.8</f>
        <v>11918.812084490604</v>
      </c>
      <c r="G454" s="3">
        <f>F454/2</f>
        <v>5959.4060422453022</v>
      </c>
      <c r="H454" t="s">
        <v>162</v>
      </c>
      <c r="I454" t="s">
        <v>453</v>
      </c>
      <c r="J454" t="s">
        <v>454</v>
      </c>
      <c r="K454">
        <v>11.48</v>
      </c>
      <c r="L454">
        <v>2.843</v>
      </c>
      <c r="M454" s="1" t="s">
        <v>20</v>
      </c>
      <c r="N454" s="1" t="s">
        <v>444</v>
      </c>
    </row>
    <row r="455" spans="1:14" x14ac:dyDescent="0.25">
      <c r="A455" t="s">
        <v>2016</v>
      </c>
      <c r="B455" t="s">
        <v>1609</v>
      </c>
      <c r="C455" t="s">
        <v>448</v>
      </c>
      <c r="D455" s="4">
        <v>4.1597237679852801E-2</v>
      </c>
      <c r="E455" s="3">
        <v>11390.870266522399</v>
      </c>
      <c r="H455" t="s">
        <v>24</v>
      </c>
      <c r="I455" t="s">
        <v>455</v>
      </c>
      <c r="J455" t="s">
        <v>456</v>
      </c>
      <c r="K455">
        <v>7.01</v>
      </c>
      <c r="L455">
        <v>2.843</v>
      </c>
      <c r="M455" s="1" t="s">
        <v>20</v>
      </c>
      <c r="N455" s="1" t="s">
        <v>444</v>
      </c>
    </row>
    <row r="456" spans="1:14" x14ac:dyDescent="0.25">
      <c r="A456" t="s">
        <v>2019</v>
      </c>
      <c r="B456" t="s">
        <v>1609</v>
      </c>
      <c r="C456" t="s">
        <v>9</v>
      </c>
      <c r="D456" s="4">
        <v>2.6827872088942301E-2</v>
      </c>
      <c r="E456" s="3">
        <v>53949.6902656889</v>
      </c>
      <c r="F456" s="3">
        <f>E456/7.8</f>
        <v>6916.6269571396024</v>
      </c>
      <c r="G456" s="3">
        <f>F456/2</f>
        <v>3458.3134785698012</v>
      </c>
      <c r="H456" t="s">
        <v>198</v>
      </c>
      <c r="I456" t="s">
        <v>590</v>
      </c>
      <c r="J456" t="s">
        <v>433</v>
      </c>
      <c r="K456">
        <v>10.84</v>
      </c>
      <c r="L456">
        <v>2.8109999999999999</v>
      </c>
      <c r="M456" s="1" t="s">
        <v>20</v>
      </c>
      <c r="N456" s="1" t="s">
        <v>444</v>
      </c>
    </row>
    <row r="457" spans="1:14" x14ac:dyDescent="0.25">
      <c r="A457" t="s">
        <v>2019</v>
      </c>
      <c r="B457" t="s">
        <v>1609</v>
      </c>
      <c r="C457" t="s">
        <v>448</v>
      </c>
      <c r="D457" s="4">
        <v>5.5367751116599098E-2</v>
      </c>
      <c r="E457" s="3">
        <v>5988.2315639417102</v>
      </c>
      <c r="H457" t="s">
        <v>17</v>
      </c>
      <c r="I457" t="s">
        <v>591</v>
      </c>
      <c r="J457" t="s">
        <v>592</v>
      </c>
      <c r="K457">
        <v>7.01</v>
      </c>
      <c r="L457">
        <v>2.8109999999999999</v>
      </c>
      <c r="M457" s="1" t="s">
        <v>20</v>
      </c>
      <c r="N457" s="1" t="s">
        <v>444</v>
      </c>
    </row>
    <row r="458" spans="1:14" x14ac:dyDescent="0.25">
      <c r="A458" t="s">
        <v>447</v>
      </c>
      <c r="B458" t="s">
        <v>1609</v>
      </c>
      <c r="C458" t="s">
        <v>9</v>
      </c>
      <c r="D458" s="4">
        <v>0</v>
      </c>
      <c r="E458" s="3">
        <v>0</v>
      </c>
      <c r="F458" s="3">
        <f>E458/7.8</f>
        <v>0</v>
      </c>
      <c r="G458" s="3">
        <f>F458/2</f>
        <v>0</v>
      </c>
      <c r="H458" t="s">
        <v>56</v>
      </c>
      <c r="I458" t="s">
        <v>201</v>
      </c>
      <c r="J458" t="s">
        <v>56</v>
      </c>
      <c r="K458">
        <v>11.73</v>
      </c>
      <c r="L458">
        <v>2.6539999999999999</v>
      </c>
      <c r="M458" s="1" t="s">
        <v>20</v>
      </c>
      <c r="N458" s="1" t="s">
        <v>445</v>
      </c>
    </row>
    <row r="459" spans="1:14" x14ac:dyDescent="0.25">
      <c r="A459" t="s">
        <v>447</v>
      </c>
      <c r="B459" t="s">
        <v>1609</v>
      </c>
      <c r="C459" t="s">
        <v>448</v>
      </c>
      <c r="D459" s="4">
        <v>0</v>
      </c>
      <c r="E459" s="3">
        <v>0</v>
      </c>
      <c r="H459" t="s">
        <v>56</v>
      </c>
      <c r="I459" t="s">
        <v>201</v>
      </c>
      <c r="J459" t="s">
        <v>56</v>
      </c>
      <c r="K459">
        <v>6.63</v>
      </c>
      <c r="L459">
        <v>2.6539999999999999</v>
      </c>
      <c r="M459" s="1" t="s">
        <v>20</v>
      </c>
      <c r="N459" s="1" t="s">
        <v>445</v>
      </c>
    </row>
    <row r="460" spans="1:14" x14ac:dyDescent="0.25">
      <c r="A460" t="s">
        <v>1608</v>
      </c>
      <c r="B460" t="s">
        <v>1609</v>
      </c>
      <c r="C460" t="s">
        <v>9</v>
      </c>
      <c r="D460" s="4">
        <v>3.6544866435867997E-2</v>
      </c>
      <c r="E460" s="3">
        <v>169426467.09519699</v>
      </c>
      <c r="F460" s="3">
        <f>E460/7.8</f>
        <v>21721341.935281668</v>
      </c>
      <c r="G460" s="3">
        <f>F460/2</f>
        <v>10860670.967640834</v>
      </c>
      <c r="H460" t="s">
        <v>363</v>
      </c>
      <c r="I460" t="s">
        <v>1094</v>
      </c>
      <c r="J460" t="s">
        <v>1095</v>
      </c>
      <c r="K460">
        <v>17.21</v>
      </c>
      <c r="L460">
        <v>2.6640000000000001</v>
      </c>
      <c r="M460" s="1">
        <v>10000</v>
      </c>
      <c r="N460" s="1" t="s">
        <v>445</v>
      </c>
    </row>
    <row r="461" spans="1:14" x14ac:dyDescent="0.25">
      <c r="A461" t="s">
        <v>1608</v>
      </c>
      <c r="B461" t="s">
        <v>1609</v>
      </c>
      <c r="C461" t="s">
        <v>448</v>
      </c>
      <c r="D461" s="4">
        <v>8.5232288664220099E-2</v>
      </c>
      <c r="E461" s="3">
        <v>25374616.687878899</v>
      </c>
      <c r="H461" t="s">
        <v>169</v>
      </c>
      <c r="I461" t="s">
        <v>1096</v>
      </c>
      <c r="J461" t="s">
        <v>998</v>
      </c>
      <c r="K461">
        <v>9.56</v>
      </c>
      <c r="L461">
        <v>2.6640000000000001</v>
      </c>
      <c r="M461" s="1">
        <v>10000</v>
      </c>
      <c r="N461" s="1" t="s">
        <v>445</v>
      </c>
    </row>
    <row r="462" spans="1:14" x14ac:dyDescent="0.25">
      <c r="A462" t="s">
        <v>10</v>
      </c>
      <c r="B462" t="s">
        <v>1609</v>
      </c>
      <c r="C462" t="s">
        <v>9</v>
      </c>
      <c r="D462" s="4" t="s">
        <v>20</v>
      </c>
      <c r="E462" s="3" t="s">
        <v>20</v>
      </c>
      <c r="H462" t="s">
        <v>421</v>
      </c>
      <c r="I462" t="s">
        <v>201</v>
      </c>
      <c r="J462" t="s">
        <v>421</v>
      </c>
      <c r="K462">
        <v>11.73</v>
      </c>
      <c r="L462">
        <v>2.6880000000000002</v>
      </c>
      <c r="M462" s="1" t="s">
        <v>20</v>
      </c>
      <c r="N462" s="1" t="s">
        <v>445</v>
      </c>
    </row>
    <row r="463" spans="1:14" x14ac:dyDescent="0.25">
      <c r="A463" t="s">
        <v>10</v>
      </c>
      <c r="B463" t="s">
        <v>1609</v>
      </c>
      <c r="C463" t="s">
        <v>448</v>
      </c>
      <c r="D463" s="4" t="s">
        <v>20</v>
      </c>
      <c r="E463" s="3" t="s">
        <v>20</v>
      </c>
      <c r="H463" t="s">
        <v>421</v>
      </c>
      <c r="I463" t="s">
        <v>201</v>
      </c>
      <c r="J463" t="s">
        <v>421</v>
      </c>
      <c r="K463">
        <v>9.18</v>
      </c>
      <c r="L463">
        <v>2.6880000000000002</v>
      </c>
      <c r="M463" s="1" t="s">
        <v>20</v>
      </c>
      <c r="N463" s="1" t="s">
        <v>445</v>
      </c>
    </row>
    <row r="464" spans="1:14" x14ac:dyDescent="0.25">
      <c r="A464" t="s">
        <v>1633</v>
      </c>
      <c r="B464" t="s">
        <v>1609</v>
      </c>
      <c r="C464" t="s">
        <v>9</v>
      </c>
      <c r="D464" s="4">
        <v>2.70184024066785E-2</v>
      </c>
      <c r="E464" s="3">
        <v>6757757.3038956504</v>
      </c>
      <c r="F464" s="3">
        <f>E464/7.8</f>
        <v>866379.14152508345</v>
      </c>
      <c r="G464" s="3">
        <f>F464/2</f>
        <v>433189.57076254173</v>
      </c>
      <c r="H464" t="s">
        <v>781</v>
      </c>
      <c r="I464" t="s">
        <v>782</v>
      </c>
      <c r="J464" t="s">
        <v>783</v>
      </c>
      <c r="K464">
        <v>14.66</v>
      </c>
      <c r="L464">
        <v>2.7149999999999999</v>
      </c>
      <c r="M464" s="1">
        <v>100</v>
      </c>
      <c r="N464" s="1" t="s">
        <v>445</v>
      </c>
    </row>
    <row r="465" spans="1:14" x14ac:dyDescent="0.25">
      <c r="A465" t="s">
        <v>1633</v>
      </c>
      <c r="B465" t="s">
        <v>1609</v>
      </c>
      <c r="C465" t="s">
        <v>448</v>
      </c>
      <c r="D465" s="4">
        <v>5.0248030269657601E-2</v>
      </c>
      <c r="E465" s="3">
        <v>778449.76302551699</v>
      </c>
      <c r="H465" t="s">
        <v>784</v>
      </c>
      <c r="I465" t="s">
        <v>785</v>
      </c>
      <c r="J465" t="s">
        <v>786</v>
      </c>
      <c r="K465">
        <v>7.65</v>
      </c>
      <c r="L465">
        <v>2.7149999999999999</v>
      </c>
      <c r="M465" s="1">
        <v>100</v>
      </c>
      <c r="N465" s="1" t="s">
        <v>445</v>
      </c>
    </row>
    <row r="466" spans="1:14" x14ac:dyDescent="0.25">
      <c r="A466" t="s">
        <v>1634</v>
      </c>
      <c r="B466" t="s">
        <v>1609</v>
      </c>
      <c r="C466" t="s">
        <v>9</v>
      </c>
      <c r="D466" s="4">
        <v>2.6822787169179199E-2</v>
      </c>
      <c r="E466" s="3">
        <v>661933.07989394199</v>
      </c>
      <c r="F466" s="3">
        <f>E466/7.8</f>
        <v>84863.215371018203</v>
      </c>
      <c r="G466" s="3">
        <f>F466/2</f>
        <v>42431.607685509101</v>
      </c>
      <c r="H466" t="s">
        <v>198</v>
      </c>
      <c r="I466" t="s">
        <v>848</v>
      </c>
      <c r="J466" t="s">
        <v>849</v>
      </c>
      <c r="K466">
        <v>14.03</v>
      </c>
      <c r="L466">
        <v>2.61</v>
      </c>
      <c r="M466" s="1">
        <v>10</v>
      </c>
      <c r="N466" s="1" t="s">
        <v>445</v>
      </c>
    </row>
    <row r="467" spans="1:14" x14ac:dyDescent="0.25">
      <c r="A467" t="s">
        <v>1634</v>
      </c>
      <c r="B467" t="s">
        <v>1609</v>
      </c>
      <c r="C467" t="s">
        <v>448</v>
      </c>
      <c r="D467" s="4">
        <v>5.1891310855534598E-2</v>
      </c>
      <c r="E467" s="3">
        <v>74297.909192919105</v>
      </c>
      <c r="H467" t="s">
        <v>198</v>
      </c>
      <c r="I467" t="s">
        <v>850</v>
      </c>
      <c r="J467" t="s">
        <v>694</v>
      </c>
      <c r="K467">
        <v>7.01</v>
      </c>
      <c r="L467">
        <v>2.61</v>
      </c>
      <c r="M467" s="1">
        <v>10</v>
      </c>
      <c r="N467" s="1" t="s">
        <v>445</v>
      </c>
    </row>
    <row r="468" spans="1:14" x14ac:dyDescent="0.25">
      <c r="A468" t="s">
        <v>1635</v>
      </c>
      <c r="B468" t="s">
        <v>1609</v>
      </c>
      <c r="C468" t="s">
        <v>9</v>
      </c>
      <c r="D468" s="4">
        <v>3.1184631899455799E-2</v>
      </c>
      <c r="E468" s="3">
        <v>112474.75203022</v>
      </c>
      <c r="F468" s="3">
        <f>E468/7.8</f>
        <v>14419.840003874358</v>
      </c>
      <c r="G468" s="3">
        <f>F468/2</f>
        <v>7209.9200019371792</v>
      </c>
      <c r="H468" t="s">
        <v>136</v>
      </c>
      <c r="I468" t="s">
        <v>969</v>
      </c>
      <c r="J468" t="s">
        <v>970</v>
      </c>
      <c r="K468">
        <v>10.84</v>
      </c>
      <c r="L468">
        <v>2.677</v>
      </c>
      <c r="M468" s="1" t="s">
        <v>20</v>
      </c>
      <c r="N468" s="1" t="s">
        <v>445</v>
      </c>
    </row>
    <row r="469" spans="1:14" x14ac:dyDescent="0.25">
      <c r="A469" t="s">
        <v>1635</v>
      </c>
      <c r="B469" t="s">
        <v>1609</v>
      </c>
      <c r="C469" t="s">
        <v>448</v>
      </c>
      <c r="D469" s="4">
        <v>4.0591136954425497E-2</v>
      </c>
      <c r="E469" s="3">
        <v>12874.4788151459</v>
      </c>
      <c r="H469" t="s">
        <v>484</v>
      </c>
      <c r="I469" t="s">
        <v>60</v>
      </c>
      <c r="J469" t="s">
        <v>971</v>
      </c>
      <c r="K469">
        <v>7.01</v>
      </c>
      <c r="L469">
        <v>2.677</v>
      </c>
      <c r="M469" s="1" t="s">
        <v>20</v>
      </c>
      <c r="N469" s="1" t="s">
        <v>445</v>
      </c>
    </row>
    <row r="470" spans="1:14" x14ac:dyDescent="0.25">
      <c r="A470" t="s">
        <v>1636</v>
      </c>
      <c r="B470" t="s">
        <v>1609</v>
      </c>
      <c r="C470" t="s">
        <v>9</v>
      </c>
      <c r="D470" s="4">
        <v>2.8647048745326802E-2</v>
      </c>
      <c r="E470" s="3">
        <v>961338.54418366298</v>
      </c>
      <c r="F470" s="3">
        <f>E470/7.8</f>
        <v>123248.53130559782</v>
      </c>
      <c r="G470" s="3">
        <f>F470/2</f>
        <v>61624.265652798909</v>
      </c>
      <c r="H470" t="s">
        <v>552</v>
      </c>
      <c r="I470" t="s">
        <v>999</v>
      </c>
      <c r="J470" t="s">
        <v>203</v>
      </c>
      <c r="K470">
        <v>15.3</v>
      </c>
      <c r="L470">
        <v>2.59</v>
      </c>
      <c r="M470" s="1">
        <v>10</v>
      </c>
      <c r="N470" s="1" t="s">
        <v>445</v>
      </c>
    </row>
    <row r="471" spans="1:14" x14ac:dyDescent="0.25">
      <c r="A471" t="s">
        <v>1636</v>
      </c>
      <c r="B471" t="s">
        <v>1609</v>
      </c>
      <c r="C471" t="s">
        <v>448</v>
      </c>
      <c r="D471" s="4">
        <v>4.2668206222212901E-2</v>
      </c>
      <c r="E471" s="3">
        <v>117812.337391547</v>
      </c>
      <c r="H471" t="s">
        <v>127</v>
      </c>
      <c r="I471" t="s">
        <v>1000</v>
      </c>
      <c r="J471" t="s">
        <v>1001</v>
      </c>
      <c r="K471">
        <v>7.01</v>
      </c>
      <c r="L471">
        <v>2.59</v>
      </c>
      <c r="M471" s="1">
        <v>10</v>
      </c>
      <c r="N471" s="1" t="s">
        <v>445</v>
      </c>
    </row>
    <row r="472" spans="1:14" x14ac:dyDescent="0.25">
      <c r="A472" t="s">
        <v>1637</v>
      </c>
      <c r="B472" t="s">
        <v>1609</v>
      </c>
      <c r="C472" t="s">
        <v>9</v>
      </c>
      <c r="D472" s="4">
        <v>2.6897049120023601E-2</v>
      </c>
      <c r="E472" s="3">
        <v>56935.804585312799</v>
      </c>
      <c r="F472" s="3">
        <f>E472/7.8</f>
        <v>7299.4621263221543</v>
      </c>
      <c r="G472" s="3">
        <f>F472/2</f>
        <v>3649.7310631610771</v>
      </c>
      <c r="H472" t="s">
        <v>71</v>
      </c>
      <c r="I472" t="s">
        <v>1034</v>
      </c>
      <c r="J472" t="s">
        <v>1035</v>
      </c>
      <c r="K472">
        <v>12.11</v>
      </c>
      <c r="L472">
        <v>2.56</v>
      </c>
      <c r="M472" s="1" t="s">
        <v>20</v>
      </c>
      <c r="N472" s="1" t="s">
        <v>445</v>
      </c>
    </row>
    <row r="473" spans="1:14" x14ac:dyDescent="0.25">
      <c r="A473" t="s">
        <v>1637</v>
      </c>
      <c r="B473" t="s">
        <v>1609</v>
      </c>
      <c r="C473" t="s">
        <v>448</v>
      </c>
      <c r="D473" s="4">
        <v>5.2274095864672201E-2</v>
      </c>
      <c r="E473" s="3">
        <v>7468.5537243474901</v>
      </c>
      <c r="H473" t="s">
        <v>133</v>
      </c>
      <c r="I473" t="s">
        <v>1036</v>
      </c>
      <c r="J473" t="s">
        <v>1037</v>
      </c>
      <c r="K473">
        <v>7.01</v>
      </c>
      <c r="L473">
        <v>2.56</v>
      </c>
      <c r="M473" s="1" t="s">
        <v>20</v>
      </c>
      <c r="N473" s="1" t="s">
        <v>445</v>
      </c>
    </row>
    <row r="474" spans="1:14" x14ac:dyDescent="0.25">
      <c r="A474" t="s">
        <v>1642</v>
      </c>
      <c r="B474" t="s">
        <v>1609</v>
      </c>
      <c r="C474" t="s">
        <v>9</v>
      </c>
      <c r="D474" s="4">
        <v>2.9216766186331799E-2</v>
      </c>
      <c r="E474" s="3">
        <v>3484983.8140088902</v>
      </c>
      <c r="F474" s="3">
        <f>E474/7.8</f>
        <v>446792.79666780645</v>
      </c>
      <c r="G474" s="3">
        <f>F474/2</f>
        <v>223396.39833390323</v>
      </c>
      <c r="H474" t="s">
        <v>232</v>
      </c>
      <c r="I474" t="s">
        <v>972</v>
      </c>
      <c r="J474" t="s">
        <v>973</v>
      </c>
      <c r="K474">
        <v>9.56</v>
      </c>
      <c r="L474">
        <v>2.5350000000000001</v>
      </c>
      <c r="M474" s="1">
        <v>100</v>
      </c>
      <c r="N474" s="1" t="s">
        <v>445</v>
      </c>
    </row>
    <row r="475" spans="1:14" x14ac:dyDescent="0.25">
      <c r="A475" t="s">
        <v>1642</v>
      </c>
      <c r="B475" t="s">
        <v>1609</v>
      </c>
      <c r="C475" t="s">
        <v>448</v>
      </c>
      <c r="D475" s="4">
        <v>6.4343654064894895E-2</v>
      </c>
      <c r="E475" s="3">
        <v>480083.80514403898</v>
      </c>
      <c r="H475" t="s">
        <v>893</v>
      </c>
      <c r="I475" t="s">
        <v>974</v>
      </c>
      <c r="J475" t="s">
        <v>975</v>
      </c>
      <c r="K475">
        <v>9.56</v>
      </c>
      <c r="L475">
        <v>2.5350000000000001</v>
      </c>
      <c r="M475" s="1">
        <v>100</v>
      </c>
      <c r="N475" s="1" t="s">
        <v>445</v>
      </c>
    </row>
    <row r="476" spans="1:14" x14ac:dyDescent="0.25">
      <c r="A476" t="s">
        <v>1643</v>
      </c>
      <c r="B476" t="s">
        <v>1609</v>
      </c>
      <c r="C476" t="s">
        <v>9</v>
      </c>
      <c r="D476" s="4">
        <v>3.1829606725432801E-2</v>
      </c>
      <c r="E476" s="3">
        <v>1236527.54518309</v>
      </c>
      <c r="F476" s="3">
        <f>E476/7.8</f>
        <v>158529.17245937051</v>
      </c>
      <c r="G476" s="3">
        <f>F476/2</f>
        <v>79264.586229685257</v>
      </c>
      <c r="H476" t="s">
        <v>56</v>
      </c>
      <c r="I476" t="s">
        <v>1002</v>
      </c>
      <c r="J476" t="s">
        <v>1003</v>
      </c>
      <c r="K476">
        <v>10.84</v>
      </c>
      <c r="L476">
        <v>2.5249999999999999</v>
      </c>
      <c r="M476" s="1">
        <v>10</v>
      </c>
      <c r="N476" s="1" t="s">
        <v>445</v>
      </c>
    </row>
    <row r="477" spans="1:14" x14ac:dyDescent="0.25">
      <c r="A477" t="s">
        <v>1643</v>
      </c>
      <c r="B477" t="s">
        <v>1609</v>
      </c>
      <c r="C477" t="s">
        <v>448</v>
      </c>
      <c r="D477" s="4">
        <v>4.0584304203366103E-2</v>
      </c>
      <c r="E477" s="3">
        <v>137119.71181288699</v>
      </c>
      <c r="H477" t="s">
        <v>32</v>
      </c>
      <c r="I477" t="s">
        <v>1004</v>
      </c>
      <c r="J477" t="s">
        <v>1005</v>
      </c>
      <c r="K477">
        <v>7.01</v>
      </c>
      <c r="L477">
        <v>2.5249999999999999</v>
      </c>
      <c r="M477" s="1">
        <v>10</v>
      </c>
      <c r="N477" s="1" t="s">
        <v>445</v>
      </c>
    </row>
    <row r="478" spans="1:14" x14ac:dyDescent="0.25">
      <c r="A478" t="s">
        <v>1660</v>
      </c>
      <c r="B478" t="s">
        <v>1609</v>
      </c>
      <c r="C478" t="s">
        <v>9</v>
      </c>
      <c r="D478" s="4">
        <v>2.6910301325786201E-2</v>
      </c>
      <c r="E478" s="3">
        <v>5671513.2638134602</v>
      </c>
      <c r="F478" s="3">
        <f>E478/7.8</f>
        <v>727117.08510428981</v>
      </c>
      <c r="G478" s="3">
        <f>F478/2</f>
        <v>363558.54255214491</v>
      </c>
      <c r="H478" t="s">
        <v>98</v>
      </c>
      <c r="I478" t="s">
        <v>842</v>
      </c>
      <c r="J478" t="s">
        <v>926</v>
      </c>
      <c r="K478">
        <v>14.66</v>
      </c>
      <c r="L478">
        <v>2.52</v>
      </c>
      <c r="M478" s="1">
        <v>100</v>
      </c>
      <c r="N478" s="1" t="s">
        <v>445</v>
      </c>
    </row>
    <row r="479" spans="1:14" x14ac:dyDescent="0.25">
      <c r="A479" t="s">
        <v>1660</v>
      </c>
      <c r="B479" t="s">
        <v>1609</v>
      </c>
      <c r="C479" t="s">
        <v>448</v>
      </c>
      <c r="D479" s="4">
        <v>5.19098405356005E-2</v>
      </c>
      <c r="E479" s="3">
        <v>771385.82355251</v>
      </c>
      <c r="H479" t="s">
        <v>421</v>
      </c>
      <c r="I479" t="s">
        <v>927</v>
      </c>
      <c r="J479" t="s">
        <v>928</v>
      </c>
      <c r="K479">
        <v>7.65</v>
      </c>
      <c r="L479">
        <v>2.52</v>
      </c>
      <c r="M479" s="1">
        <v>100</v>
      </c>
      <c r="N479" s="1" t="s">
        <v>445</v>
      </c>
    </row>
    <row r="480" spans="1:14" x14ac:dyDescent="0.25">
      <c r="A480" t="s">
        <v>1663</v>
      </c>
      <c r="B480" t="s">
        <v>1609</v>
      </c>
      <c r="C480" t="s">
        <v>9</v>
      </c>
      <c r="D480" s="4">
        <v>2.6847264367262001E-2</v>
      </c>
      <c r="E480" s="3">
        <v>626900.83632843604</v>
      </c>
      <c r="F480" s="3">
        <f>E480/7.8</f>
        <v>80371.902093389232</v>
      </c>
      <c r="G480" s="3">
        <f>F480/2</f>
        <v>40185.951046694616</v>
      </c>
      <c r="H480" t="s">
        <v>421</v>
      </c>
      <c r="I480" t="s">
        <v>787</v>
      </c>
      <c r="J480" t="s">
        <v>788</v>
      </c>
      <c r="K480">
        <v>15.3</v>
      </c>
      <c r="L480">
        <v>2.7109999999999999</v>
      </c>
      <c r="M480" s="1">
        <v>10</v>
      </c>
      <c r="N480" s="1" t="s">
        <v>445</v>
      </c>
    </row>
    <row r="481" spans="1:14" x14ac:dyDescent="0.25">
      <c r="A481" t="s">
        <v>1663</v>
      </c>
      <c r="B481" t="s">
        <v>1609</v>
      </c>
      <c r="C481" t="s">
        <v>448</v>
      </c>
      <c r="D481" s="4">
        <v>5.0278800331361798E-2</v>
      </c>
      <c r="E481" s="3">
        <v>77029.323666681405</v>
      </c>
      <c r="H481" t="s">
        <v>305</v>
      </c>
      <c r="I481" t="s">
        <v>789</v>
      </c>
      <c r="J481" t="s">
        <v>790</v>
      </c>
      <c r="K481">
        <v>7.01</v>
      </c>
      <c r="L481">
        <v>2.7109999999999999</v>
      </c>
      <c r="M481" s="1">
        <v>10</v>
      </c>
      <c r="N481" s="1" t="s">
        <v>445</v>
      </c>
    </row>
    <row r="482" spans="1:14" x14ac:dyDescent="0.25">
      <c r="A482" t="s">
        <v>1666</v>
      </c>
      <c r="B482" t="s">
        <v>1609</v>
      </c>
      <c r="C482" t="s">
        <v>9</v>
      </c>
      <c r="D482" s="4">
        <v>3.3499766980868602E-2</v>
      </c>
      <c r="E482" s="3">
        <v>2165644.86222</v>
      </c>
      <c r="F482" s="3">
        <f>E482/7.8</f>
        <v>277646.77720769233</v>
      </c>
      <c r="G482" s="3">
        <f>F482/2</f>
        <v>138823.38860384616</v>
      </c>
      <c r="H482" t="s">
        <v>130</v>
      </c>
      <c r="I482" t="s">
        <v>858</v>
      </c>
      <c r="J482" t="s">
        <v>859</v>
      </c>
      <c r="K482">
        <v>14.03</v>
      </c>
      <c r="L482">
        <v>2.6080000000000001</v>
      </c>
      <c r="M482" s="1">
        <v>100</v>
      </c>
      <c r="N482" s="1" t="s">
        <v>445</v>
      </c>
    </row>
    <row r="483" spans="1:14" x14ac:dyDescent="0.25">
      <c r="A483" t="s">
        <v>1666</v>
      </c>
      <c r="B483" t="s">
        <v>1609</v>
      </c>
      <c r="C483" t="s">
        <v>448</v>
      </c>
      <c r="D483" s="4">
        <v>8.0641589809150496E-2</v>
      </c>
      <c r="E483" s="3">
        <v>290435.49853273301</v>
      </c>
      <c r="H483" t="s">
        <v>130</v>
      </c>
      <c r="I483" t="s">
        <v>860</v>
      </c>
      <c r="J483" t="s">
        <v>861</v>
      </c>
      <c r="K483">
        <v>8.2899999999999991</v>
      </c>
      <c r="L483">
        <v>2.6080000000000001</v>
      </c>
      <c r="M483" s="1">
        <v>100</v>
      </c>
      <c r="N483" s="1" t="s">
        <v>445</v>
      </c>
    </row>
    <row r="484" spans="1:14" x14ac:dyDescent="0.25">
      <c r="A484" t="s">
        <v>1668</v>
      </c>
      <c r="B484" t="s">
        <v>1609</v>
      </c>
      <c r="C484" t="s">
        <v>9</v>
      </c>
      <c r="D484" s="4">
        <v>2.93533165194786E-2</v>
      </c>
      <c r="E484" s="3">
        <v>3236174.2322387001</v>
      </c>
      <c r="F484" s="3">
        <f>E484/7.8</f>
        <v>414894.13233829488</v>
      </c>
      <c r="G484" s="3">
        <f>F484/2</f>
        <v>207447.06616914744</v>
      </c>
      <c r="H484" t="s">
        <v>141</v>
      </c>
      <c r="I484" t="s">
        <v>854</v>
      </c>
      <c r="J484" t="s">
        <v>855</v>
      </c>
      <c r="K484">
        <v>10.84</v>
      </c>
      <c r="L484">
        <v>2.7040000000000002</v>
      </c>
      <c r="M484" s="1">
        <v>100</v>
      </c>
      <c r="N484" s="1" t="s">
        <v>445</v>
      </c>
    </row>
    <row r="485" spans="1:14" x14ac:dyDescent="0.25">
      <c r="A485" t="s">
        <v>1668</v>
      </c>
      <c r="B485" t="s">
        <v>1609</v>
      </c>
      <c r="C485" t="s">
        <v>448</v>
      </c>
      <c r="D485" s="4">
        <v>6.5957399611714901E-2</v>
      </c>
      <c r="E485" s="3">
        <v>428972.80550099601</v>
      </c>
      <c r="H485" t="s">
        <v>767</v>
      </c>
      <c r="I485" t="s">
        <v>856</v>
      </c>
      <c r="J485" t="s">
        <v>857</v>
      </c>
      <c r="K485">
        <v>8.2899999999999991</v>
      </c>
      <c r="L485">
        <v>2.7040000000000002</v>
      </c>
      <c r="M485" s="1">
        <v>100</v>
      </c>
      <c r="N485" s="1" t="s">
        <v>445</v>
      </c>
    </row>
    <row r="486" spans="1:14" x14ac:dyDescent="0.25">
      <c r="A486" t="s">
        <v>1671</v>
      </c>
      <c r="B486" t="s">
        <v>1609</v>
      </c>
      <c r="C486" t="s">
        <v>9</v>
      </c>
      <c r="D486" s="4">
        <v>2.7140528499028E-2</v>
      </c>
      <c r="E486" s="3">
        <v>7837362.6806435399</v>
      </c>
      <c r="F486" s="3">
        <f>E486/7.8</f>
        <v>1004790.0872619923</v>
      </c>
      <c r="G486" s="3">
        <f>F486/2</f>
        <v>502395.04363099614</v>
      </c>
      <c r="H486" t="s">
        <v>198</v>
      </c>
      <c r="I486" t="s">
        <v>922</v>
      </c>
      <c r="J486" t="s">
        <v>923</v>
      </c>
      <c r="K486">
        <v>12.11</v>
      </c>
      <c r="L486">
        <v>2.5299999999999998</v>
      </c>
      <c r="M486" s="1">
        <v>100</v>
      </c>
      <c r="N486" s="1" t="s">
        <v>445</v>
      </c>
    </row>
    <row r="487" spans="1:14" x14ac:dyDescent="0.25">
      <c r="A487" t="s">
        <v>1671</v>
      </c>
      <c r="B487" t="s">
        <v>1609</v>
      </c>
      <c r="C487" t="s">
        <v>448</v>
      </c>
      <c r="D487" s="4">
        <v>4.8367655716795598E-2</v>
      </c>
      <c r="E487" s="3">
        <v>900566.14468658704</v>
      </c>
      <c r="H487" t="s">
        <v>305</v>
      </c>
      <c r="I487" t="s">
        <v>924</v>
      </c>
      <c r="J487" t="s">
        <v>925</v>
      </c>
      <c r="K487">
        <v>7.01</v>
      </c>
      <c r="L487">
        <v>2.5299999999999998</v>
      </c>
      <c r="M487" s="1">
        <v>100</v>
      </c>
      <c r="N487" s="1" t="s">
        <v>445</v>
      </c>
    </row>
    <row r="488" spans="1:14" x14ac:dyDescent="0.25">
      <c r="A488" t="s">
        <v>1672</v>
      </c>
      <c r="B488" t="s">
        <v>1609</v>
      </c>
      <c r="C488" t="s">
        <v>9</v>
      </c>
      <c r="D488" s="4">
        <v>4.6760865285048997E-2</v>
      </c>
      <c r="E488" s="3">
        <v>1719922.0198431199</v>
      </c>
      <c r="F488" s="3">
        <f>E488/7.8</f>
        <v>220502.82305681024</v>
      </c>
      <c r="G488" s="3">
        <f>F488/2</f>
        <v>110251.41152840512</v>
      </c>
      <c r="H488" t="s">
        <v>82</v>
      </c>
      <c r="I488" t="s">
        <v>156</v>
      </c>
      <c r="J488" t="s">
        <v>851</v>
      </c>
      <c r="K488">
        <v>18.489999999999998</v>
      </c>
      <c r="L488">
        <v>2.71</v>
      </c>
      <c r="M488" s="1">
        <v>10</v>
      </c>
      <c r="N488" s="1" t="s">
        <v>445</v>
      </c>
    </row>
    <row r="489" spans="1:14" x14ac:dyDescent="0.25">
      <c r="A489" t="s">
        <v>1672</v>
      </c>
      <c r="B489" t="s">
        <v>1609</v>
      </c>
      <c r="C489" t="s">
        <v>448</v>
      </c>
      <c r="D489" s="4">
        <v>3.3144164979708797E-2</v>
      </c>
      <c r="E489" s="3">
        <v>215389.94393103101</v>
      </c>
      <c r="H489" t="s">
        <v>82</v>
      </c>
      <c r="I489" t="s">
        <v>852</v>
      </c>
      <c r="J489" t="s">
        <v>853</v>
      </c>
      <c r="K489">
        <v>7.01</v>
      </c>
      <c r="L489">
        <v>2.71</v>
      </c>
      <c r="M489" s="1">
        <v>10</v>
      </c>
      <c r="N489" s="1" t="s">
        <v>445</v>
      </c>
    </row>
    <row r="490" spans="1:14" x14ac:dyDescent="0.25">
      <c r="A490" t="s">
        <v>1695</v>
      </c>
      <c r="B490" t="s">
        <v>1609</v>
      </c>
      <c r="C490" t="s">
        <v>9</v>
      </c>
      <c r="D490" s="4">
        <v>2.6872217393005798E-2</v>
      </c>
      <c r="E490" s="3">
        <v>64032.4184912485</v>
      </c>
      <c r="F490" s="3">
        <f>E490/7.8</f>
        <v>8209.2844219549352</v>
      </c>
      <c r="G490" s="3">
        <f>F490/2</f>
        <v>4104.6422109774676</v>
      </c>
      <c r="H490" t="s">
        <v>552</v>
      </c>
      <c r="I490" t="s">
        <v>791</v>
      </c>
      <c r="J490" t="s">
        <v>792</v>
      </c>
      <c r="K490">
        <v>12.11</v>
      </c>
      <c r="L490">
        <v>2.7480000000000002</v>
      </c>
      <c r="M490" s="1" t="s">
        <v>20</v>
      </c>
      <c r="N490" s="1" t="s">
        <v>445</v>
      </c>
    </row>
    <row r="491" spans="1:14" x14ac:dyDescent="0.25">
      <c r="A491" t="s">
        <v>1695</v>
      </c>
      <c r="B491" t="s">
        <v>1609</v>
      </c>
      <c r="C491" t="s">
        <v>448</v>
      </c>
      <c r="D491" s="4">
        <v>4.8915030001868698E-2</v>
      </c>
      <c r="E491" s="3">
        <v>8104.2562295857197</v>
      </c>
      <c r="H491" t="s">
        <v>685</v>
      </c>
      <c r="I491" t="s">
        <v>793</v>
      </c>
      <c r="J491" t="s">
        <v>794</v>
      </c>
      <c r="K491">
        <v>8.2899999999999991</v>
      </c>
      <c r="L491">
        <v>2.7480000000000002</v>
      </c>
      <c r="M491" s="1" t="s">
        <v>20</v>
      </c>
      <c r="N491" s="1" t="s">
        <v>445</v>
      </c>
    </row>
    <row r="492" spans="1:14" x14ac:dyDescent="0.25">
      <c r="A492" t="s">
        <v>1697</v>
      </c>
      <c r="B492" t="s">
        <v>1609</v>
      </c>
      <c r="C492" t="s">
        <v>9</v>
      </c>
      <c r="D492" s="4">
        <v>2.6910962807142301E-2</v>
      </c>
      <c r="E492" s="3">
        <v>55613.910741565203</v>
      </c>
      <c r="F492" s="3">
        <f>E492/7.8</f>
        <v>7129.9885566109233</v>
      </c>
      <c r="G492" s="3">
        <f>F492/2</f>
        <v>3564.9942783054616</v>
      </c>
      <c r="H492" t="s">
        <v>98</v>
      </c>
      <c r="I492" t="s">
        <v>1042</v>
      </c>
      <c r="J492" t="s">
        <v>1043</v>
      </c>
      <c r="K492">
        <v>12.11</v>
      </c>
      <c r="L492">
        <v>2.569</v>
      </c>
      <c r="M492" s="1" t="s">
        <v>20</v>
      </c>
      <c r="N492" s="1" t="s">
        <v>445</v>
      </c>
    </row>
    <row r="493" spans="1:14" x14ac:dyDescent="0.25">
      <c r="A493" t="s">
        <v>1697</v>
      </c>
      <c r="B493" t="s">
        <v>1609</v>
      </c>
      <c r="C493" t="s">
        <v>448</v>
      </c>
      <c r="D493" s="4">
        <v>5.3026853420371001E-2</v>
      </c>
      <c r="E493" s="3">
        <v>7207.0472619477596</v>
      </c>
      <c r="H493" t="s">
        <v>62</v>
      </c>
      <c r="I493" t="s">
        <v>1044</v>
      </c>
      <c r="J493" t="s">
        <v>1045</v>
      </c>
      <c r="K493">
        <v>7.01</v>
      </c>
      <c r="L493">
        <v>2.569</v>
      </c>
      <c r="M493" s="1" t="s">
        <v>20</v>
      </c>
      <c r="N493" s="1" t="s">
        <v>445</v>
      </c>
    </row>
    <row r="494" spans="1:14" x14ac:dyDescent="0.25">
      <c r="A494" t="s">
        <v>1698</v>
      </c>
      <c r="B494" t="s">
        <v>1609</v>
      </c>
      <c r="C494" t="s">
        <v>9</v>
      </c>
      <c r="D494" s="4">
        <v>3.1926198107281402E-2</v>
      </c>
      <c r="E494" s="3">
        <v>122824.70678159699</v>
      </c>
      <c r="F494" s="3">
        <f>E494/7.8</f>
        <v>15746.757279691923</v>
      </c>
      <c r="G494" s="3">
        <f>F494/2</f>
        <v>7873.3786398459615</v>
      </c>
      <c r="H494" t="s">
        <v>280</v>
      </c>
      <c r="I494" t="s">
        <v>862</v>
      </c>
      <c r="J494" t="s">
        <v>863</v>
      </c>
      <c r="K494">
        <v>12.11</v>
      </c>
      <c r="L494">
        <v>2.548</v>
      </c>
      <c r="M494" s="1" t="s">
        <v>20</v>
      </c>
      <c r="N494" s="1" t="s">
        <v>445</v>
      </c>
    </row>
    <row r="495" spans="1:14" x14ac:dyDescent="0.25">
      <c r="A495" t="s">
        <v>1698</v>
      </c>
      <c r="B495" t="s">
        <v>1609</v>
      </c>
      <c r="C495" t="s">
        <v>448</v>
      </c>
      <c r="D495" s="4">
        <v>3.9953140670548198E-2</v>
      </c>
      <c r="E495" s="3">
        <v>14157.9066450677</v>
      </c>
      <c r="H495" t="s">
        <v>508</v>
      </c>
      <c r="I495" t="s">
        <v>864</v>
      </c>
      <c r="J495" t="s">
        <v>865</v>
      </c>
      <c r="K495">
        <v>7.01</v>
      </c>
      <c r="L495">
        <v>2.548</v>
      </c>
      <c r="M495" s="1" t="s">
        <v>20</v>
      </c>
      <c r="N495" s="1" t="s">
        <v>445</v>
      </c>
    </row>
    <row r="496" spans="1:14" x14ac:dyDescent="0.25">
      <c r="A496" t="s">
        <v>1699</v>
      </c>
      <c r="B496" t="s">
        <v>1609</v>
      </c>
      <c r="C496" t="s">
        <v>9</v>
      </c>
      <c r="D496" s="4">
        <v>8.3440724713237199E-2</v>
      </c>
      <c r="E496" s="3">
        <v>253381.39401809999</v>
      </c>
      <c r="F496" s="3">
        <f>E496/7.8</f>
        <v>32484.794104884615</v>
      </c>
      <c r="G496" s="3">
        <f>F496/2</f>
        <v>16242.397052442308</v>
      </c>
      <c r="H496" t="s">
        <v>114</v>
      </c>
      <c r="I496" t="s">
        <v>347</v>
      </c>
      <c r="J496" t="s">
        <v>976</v>
      </c>
      <c r="K496">
        <v>17.07</v>
      </c>
      <c r="L496">
        <v>2.4940000000000002</v>
      </c>
      <c r="M496" s="1" t="s">
        <v>20</v>
      </c>
      <c r="N496" s="1" t="s">
        <v>445</v>
      </c>
    </row>
    <row r="497" spans="1:14" x14ac:dyDescent="0.25">
      <c r="A497" t="s">
        <v>1699</v>
      </c>
      <c r="B497" t="s">
        <v>1609</v>
      </c>
      <c r="C497" t="s">
        <v>448</v>
      </c>
      <c r="D497" s="4">
        <v>2.8665438213640902E-2</v>
      </c>
      <c r="E497" s="3">
        <v>38282.568588651702</v>
      </c>
      <c r="H497" t="s">
        <v>114</v>
      </c>
      <c r="I497" t="s">
        <v>977</v>
      </c>
      <c r="J497" t="s">
        <v>978</v>
      </c>
      <c r="K497">
        <v>8.2899999999999991</v>
      </c>
      <c r="L497">
        <v>2.4940000000000002</v>
      </c>
      <c r="M497" s="1" t="s">
        <v>20</v>
      </c>
      <c r="N497" s="1" t="s">
        <v>445</v>
      </c>
    </row>
    <row r="498" spans="1:14" x14ac:dyDescent="0.25">
      <c r="A498" t="s">
        <v>1714</v>
      </c>
      <c r="B498" t="s">
        <v>1609</v>
      </c>
      <c r="C498" t="s">
        <v>9</v>
      </c>
      <c r="D498" s="4">
        <v>7.3633690515457095E-2</v>
      </c>
      <c r="E498" s="3">
        <v>3689.8418777054399</v>
      </c>
      <c r="F498" s="3">
        <f>E498/7.8</f>
        <v>473.05665098787694</v>
      </c>
      <c r="G498" s="3">
        <f>F498/2</f>
        <v>236.52832549393847</v>
      </c>
      <c r="H498" t="s">
        <v>207</v>
      </c>
      <c r="I498" t="s">
        <v>979</v>
      </c>
      <c r="J498" t="s">
        <v>980</v>
      </c>
      <c r="K498">
        <v>14.66</v>
      </c>
      <c r="L498">
        <v>2.48</v>
      </c>
      <c r="M498" s="1" t="s">
        <v>20</v>
      </c>
      <c r="N498" s="1" t="s">
        <v>445</v>
      </c>
    </row>
    <row r="499" spans="1:14" x14ac:dyDescent="0.25">
      <c r="A499" t="s">
        <v>1714</v>
      </c>
      <c r="B499" t="s">
        <v>1609</v>
      </c>
      <c r="C499" t="s">
        <v>448</v>
      </c>
      <c r="D499" s="4">
        <v>0.21644304445006199</v>
      </c>
      <c r="E499" s="3">
        <v>410.226742056391</v>
      </c>
      <c r="H499" t="s">
        <v>207</v>
      </c>
      <c r="I499" t="s">
        <v>981</v>
      </c>
      <c r="J499" t="s">
        <v>32</v>
      </c>
      <c r="K499">
        <v>7.01</v>
      </c>
      <c r="L499">
        <v>2.48</v>
      </c>
      <c r="M499" s="1" t="s">
        <v>20</v>
      </c>
      <c r="N499" s="1" t="s">
        <v>445</v>
      </c>
    </row>
    <row r="500" spans="1:14" x14ac:dyDescent="0.25">
      <c r="A500" t="s">
        <v>1715</v>
      </c>
      <c r="B500" t="s">
        <v>1609</v>
      </c>
      <c r="C500" t="s">
        <v>9</v>
      </c>
      <c r="D500" s="4">
        <v>2.75929585755956E-2</v>
      </c>
      <c r="E500" s="3">
        <v>86534.345877170897</v>
      </c>
      <c r="F500" s="3">
        <f>E500/7.8</f>
        <v>11094.146907329603</v>
      </c>
      <c r="G500" s="3">
        <f>F500/2</f>
        <v>5547.0734536648015</v>
      </c>
      <c r="H500" t="s">
        <v>280</v>
      </c>
      <c r="I500" t="s">
        <v>929</v>
      </c>
      <c r="J500" t="s">
        <v>930</v>
      </c>
      <c r="K500">
        <v>13.39</v>
      </c>
      <c r="L500">
        <v>2.5019999999999998</v>
      </c>
      <c r="M500" s="1" t="s">
        <v>20</v>
      </c>
      <c r="N500" s="1" t="s">
        <v>445</v>
      </c>
    </row>
    <row r="501" spans="1:14" x14ac:dyDescent="0.25">
      <c r="A501" t="s">
        <v>1715</v>
      </c>
      <c r="B501" t="s">
        <v>1609</v>
      </c>
      <c r="C501" t="s">
        <v>448</v>
      </c>
      <c r="D501" s="4">
        <v>4.6039755781142798E-2</v>
      </c>
      <c r="E501" s="3">
        <v>10246.119963921999</v>
      </c>
      <c r="H501" t="s">
        <v>670</v>
      </c>
      <c r="I501" t="s">
        <v>132</v>
      </c>
      <c r="J501" t="s">
        <v>931</v>
      </c>
      <c r="K501">
        <v>8.2899999999999991</v>
      </c>
      <c r="L501">
        <v>2.5019999999999998</v>
      </c>
      <c r="M501" s="1" t="s">
        <v>20</v>
      </c>
      <c r="N501" s="1" t="s">
        <v>445</v>
      </c>
    </row>
    <row r="502" spans="1:14" x14ac:dyDescent="0.25">
      <c r="A502" t="s">
        <v>1725</v>
      </c>
      <c r="B502" t="s">
        <v>1609</v>
      </c>
      <c r="C502" t="s">
        <v>9</v>
      </c>
      <c r="D502" s="4">
        <v>6.2116795714356798E-2</v>
      </c>
      <c r="E502" s="3">
        <v>4922.8501638733496</v>
      </c>
      <c r="F502" s="3">
        <f>E502/7.8</f>
        <v>631.13463639401925</v>
      </c>
      <c r="G502" s="3">
        <f>F502/2</f>
        <v>315.56731819700963</v>
      </c>
      <c r="H502" t="s">
        <v>347</v>
      </c>
      <c r="I502" t="s">
        <v>1046</v>
      </c>
      <c r="J502" t="s">
        <v>1047</v>
      </c>
      <c r="K502">
        <v>13.39</v>
      </c>
      <c r="L502">
        <v>2.6680000000000001</v>
      </c>
      <c r="M502" s="1" t="s">
        <v>20</v>
      </c>
      <c r="N502" s="1" t="s">
        <v>445</v>
      </c>
    </row>
    <row r="503" spans="1:14" x14ac:dyDescent="0.25">
      <c r="A503" t="s">
        <v>1725</v>
      </c>
      <c r="B503" t="s">
        <v>1609</v>
      </c>
      <c r="C503" t="s">
        <v>448</v>
      </c>
      <c r="D503" s="4">
        <v>0.164479030090532</v>
      </c>
      <c r="E503" s="3">
        <v>663.65184093328401</v>
      </c>
      <c r="H503" t="s">
        <v>347</v>
      </c>
      <c r="I503" t="s">
        <v>1048</v>
      </c>
      <c r="J503" t="s">
        <v>1010</v>
      </c>
      <c r="K503">
        <v>8.2899999999999991</v>
      </c>
      <c r="L503">
        <v>2.6680000000000001</v>
      </c>
      <c r="M503" s="1" t="s">
        <v>20</v>
      </c>
      <c r="N503" s="1" t="s">
        <v>445</v>
      </c>
    </row>
    <row r="504" spans="1:14" x14ac:dyDescent="0.25">
      <c r="A504" t="s">
        <v>1726</v>
      </c>
      <c r="B504" t="s">
        <v>1609</v>
      </c>
      <c r="C504" t="s">
        <v>9</v>
      </c>
      <c r="D504" s="4">
        <v>2.7075067371926501E-2</v>
      </c>
      <c r="E504" s="3">
        <v>767020.77992986795</v>
      </c>
      <c r="F504" s="3">
        <f>E504/7.8</f>
        <v>98335.997426906149</v>
      </c>
      <c r="G504" s="3">
        <f>F504/2</f>
        <v>49167.998713453075</v>
      </c>
      <c r="H504" t="s">
        <v>130</v>
      </c>
      <c r="I504" t="s">
        <v>1014</v>
      </c>
      <c r="J504" t="s">
        <v>1015</v>
      </c>
      <c r="K504">
        <v>12.11</v>
      </c>
      <c r="L504">
        <v>2.528</v>
      </c>
      <c r="M504" s="1">
        <v>10</v>
      </c>
      <c r="N504" s="1" t="s">
        <v>445</v>
      </c>
    </row>
    <row r="505" spans="1:14" x14ac:dyDescent="0.25">
      <c r="A505" t="s">
        <v>1726</v>
      </c>
      <c r="B505" t="s">
        <v>1609</v>
      </c>
      <c r="C505" t="s">
        <v>448</v>
      </c>
      <c r="D505" s="4">
        <v>4.7058951037767097E-2</v>
      </c>
      <c r="E505" s="3">
        <v>96148.925943237598</v>
      </c>
      <c r="H505" t="s">
        <v>111</v>
      </c>
      <c r="I505" t="s">
        <v>1016</v>
      </c>
      <c r="J505" t="s">
        <v>1017</v>
      </c>
      <c r="K505">
        <v>7.01</v>
      </c>
      <c r="L505">
        <v>2.528</v>
      </c>
      <c r="M505" s="1">
        <v>10</v>
      </c>
      <c r="N505" s="1" t="s">
        <v>445</v>
      </c>
    </row>
    <row r="506" spans="1:14" x14ac:dyDescent="0.25">
      <c r="A506" t="s">
        <v>1732</v>
      </c>
      <c r="B506" t="s">
        <v>1609</v>
      </c>
      <c r="C506" t="s">
        <v>9</v>
      </c>
      <c r="D506" s="4">
        <v>3.6440253554884602E-2</v>
      </c>
      <c r="E506" s="3">
        <v>1451697.9378015699</v>
      </c>
      <c r="F506" s="3">
        <f>E506/7.8</f>
        <v>186115.1202309705</v>
      </c>
      <c r="G506" s="3">
        <f>F506/2</f>
        <v>93057.560115485248</v>
      </c>
      <c r="H506" t="s">
        <v>284</v>
      </c>
      <c r="I506" t="s">
        <v>1038</v>
      </c>
      <c r="J506" t="s">
        <v>1039</v>
      </c>
      <c r="K506">
        <v>14.03</v>
      </c>
      <c r="L506">
        <v>2.5739999999999998</v>
      </c>
      <c r="M506" s="1">
        <v>10</v>
      </c>
      <c r="N506" s="1" t="s">
        <v>445</v>
      </c>
    </row>
    <row r="507" spans="1:14" x14ac:dyDescent="0.25">
      <c r="A507" t="s">
        <v>1732</v>
      </c>
      <c r="B507" t="s">
        <v>1609</v>
      </c>
      <c r="C507" t="s">
        <v>448</v>
      </c>
      <c r="D507" s="4">
        <v>3.77700035770153E-2</v>
      </c>
      <c r="E507" s="3">
        <v>162328.985475942</v>
      </c>
      <c r="H507" t="s">
        <v>564</v>
      </c>
      <c r="I507" t="s">
        <v>1040</v>
      </c>
      <c r="J507" t="s">
        <v>1041</v>
      </c>
      <c r="K507">
        <v>7.01</v>
      </c>
      <c r="L507">
        <v>2.5739999999999998</v>
      </c>
      <c r="M507" s="1">
        <v>10</v>
      </c>
      <c r="N507" s="1" t="s">
        <v>445</v>
      </c>
    </row>
    <row r="508" spans="1:14" x14ac:dyDescent="0.25">
      <c r="A508" t="s">
        <v>1734</v>
      </c>
      <c r="B508" t="s">
        <v>1609</v>
      </c>
      <c r="C508" t="s">
        <v>9</v>
      </c>
      <c r="D508" s="4">
        <v>3.37025349845348E-2</v>
      </c>
      <c r="E508" s="3">
        <v>135611.708141732</v>
      </c>
      <c r="F508" s="3">
        <f>E508/7.8</f>
        <v>17386.11642842718</v>
      </c>
      <c r="G508" s="3">
        <f>F508/2</f>
        <v>8693.05821421359</v>
      </c>
      <c r="H508" t="s">
        <v>91</v>
      </c>
      <c r="I508" t="s">
        <v>1006</v>
      </c>
      <c r="J508" t="s">
        <v>1007</v>
      </c>
      <c r="K508">
        <v>12.11</v>
      </c>
      <c r="L508">
        <v>2.5009999999999999</v>
      </c>
      <c r="M508" s="1" t="s">
        <v>20</v>
      </c>
      <c r="N508" s="1" t="s">
        <v>445</v>
      </c>
    </row>
    <row r="509" spans="1:14" x14ac:dyDescent="0.25">
      <c r="A509" t="s">
        <v>1734</v>
      </c>
      <c r="B509" t="s">
        <v>1609</v>
      </c>
      <c r="C509" t="s">
        <v>448</v>
      </c>
      <c r="D509" s="4">
        <v>3.8357570300999497E-2</v>
      </c>
      <c r="E509" s="3">
        <v>16023.167782680101</v>
      </c>
      <c r="H509" t="s">
        <v>750</v>
      </c>
      <c r="I509" t="s">
        <v>1008</v>
      </c>
      <c r="J509" t="s">
        <v>1009</v>
      </c>
      <c r="K509">
        <v>8.2899999999999991</v>
      </c>
      <c r="L509">
        <v>2.5009999999999999</v>
      </c>
      <c r="M509" s="1" t="s">
        <v>20</v>
      </c>
      <c r="N509" s="1" t="s">
        <v>445</v>
      </c>
    </row>
    <row r="510" spans="1:14" x14ac:dyDescent="0.25">
      <c r="A510" t="s">
        <v>1748</v>
      </c>
      <c r="B510" t="s">
        <v>1609</v>
      </c>
      <c r="C510" t="s">
        <v>9</v>
      </c>
      <c r="D510" s="4">
        <v>3.9812178846401397E-2</v>
      </c>
      <c r="E510" s="3">
        <v>162802.703391808</v>
      </c>
      <c r="F510" s="3">
        <f>E510/7.8</f>
        <v>20872.141460488205</v>
      </c>
      <c r="G510" s="3">
        <f>F510/2</f>
        <v>10436.070730244102</v>
      </c>
      <c r="H510" t="s">
        <v>284</v>
      </c>
      <c r="I510" t="s">
        <v>1010</v>
      </c>
      <c r="J510" t="s">
        <v>1011</v>
      </c>
      <c r="K510">
        <v>12.11</v>
      </c>
      <c r="L510">
        <v>2.5110000000000001</v>
      </c>
      <c r="M510" s="1" t="s">
        <v>20</v>
      </c>
      <c r="N510" s="1" t="s">
        <v>445</v>
      </c>
    </row>
    <row r="511" spans="1:14" x14ac:dyDescent="0.25">
      <c r="A511" t="s">
        <v>1748</v>
      </c>
      <c r="B511" t="s">
        <v>1609</v>
      </c>
      <c r="C511" t="s">
        <v>448</v>
      </c>
      <c r="D511" s="4">
        <v>3.4006200524785597E-2</v>
      </c>
      <c r="E511" s="3">
        <v>21544.267048583701</v>
      </c>
      <c r="H511" t="s">
        <v>284</v>
      </c>
      <c r="I511" t="s">
        <v>1012</v>
      </c>
      <c r="J511" t="s">
        <v>1013</v>
      </c>
      <c r="K511">
        <v>7.01</v>
      </c>
      <c r="L511">
        <v>2.5110000000000001</v>
      </c>
      <c r="M511" s="1" t="s">
        <v>20</v>
      </c>
      <c r="N511" s="1" t="s">
        <v>445</v>
      </c>
    </row>
    <row r="512" spans="1:14" x14ac:dyDescent="0.25">
      <c r="A512" t="s">
        <v>1768</v>
      </c>
      <c r="B512" t="s">
        <v>1609</v>
      </c>
      <c r="C512" t="s">
        <v>9</v>
      </c>
      <c r="D512" s="4">
        <v>3.8231970848112397E-2</v>
      </c>
      <c r="E512" s="3">
        <v>14467038.342742801</v>
      </c>
      <c r="F512" s="3">
        <f>E512/7.8</f>
        <v>1854748.5054798464</v>
      </c>
      <c r="G512" s="3">
        <f>F512/2</f>
        <v>927374.25273992319</v>
      </c>
      <c r="H512" t="s">
        <v>56</v>
      </c>
      <c r="I512" t="s">
        <v>769</v>
      </c>
      <c r="J512" t="s">
        <v>770</v>
      </c>
      <c r="K512">
        <v>10.199999999999999</v>
      </c>
      <c r="L512">
        <v>2.718</v>
      </c>
      <c r="M512" s="1">
        <v>100</v>
      </c>
      <c r="N512" s="1" t="s">
        <v>445</v>
      </c>
    </row>
    <row r="513" spans="1:14" x14ac:dyDescent="0.25">
      <c r="A513" t="s">
        <v>1768</v>
      </c>
      <c r="B513" t="s">
        <v>1609</v>
      </c>
      <c r="C513" t="s">
        <v>448</v>
      </c>
      <c r="D513" s="4">
        <v>4.0758574462009402E-2</v>
      </c>
      <c r="E513" s="3">
        <v>1248022.61338036</v>
      </c>
      <c r="H513" t="s">
        <v>133</v>
      </c>
      <c r="I513" t="s">
        <v>274</v>
      </c>
      <c r="J513" t="s">
        <v>771</v>
      </c>
      <c r="K513">
        <v>7.65</v>
      </c>
      <c r="L513">
        <v>2.718</v>
      </c>
      <c r="M513" s="1">
        <v>100</v>
      </c>
      <c r="N513" s="1" t="s">
        <v>445</v>
      </c>
    </row>
    <row r="514" spans="1:14" x14ac:dyDescent="0.25">
      <c r="A514" t="s">
        <v>1769</v>
      </c>
      <c r="B514" t="s">
        <v>1609</v>
      </c>
      <c r="C514" t="s">
        <v>9</v>
      </c>
      <c r="D514" s="4">
        <v>2.69328532252716E-2</v>
      </c>
      <c r="E514" s="3">
        <v>659248.80783640104</v>
      </c>
      <c r="F514" s="3">
        <f>E514/7.8</f>
        <v>84519.077927743725</v>
      </c>
      <c r="G514" s="3">
        <f>F514/2</f>
        <v>42259.538963871863</v>
      </c>
      <c r="H514" t="s">
        <v>136</v>
      </c>
      <c r="I514" t="s">
        <v>795</v>
      </c>
      <c r="J514" t="s">
        <v>796</v>
      </c>
      <c r="K514">
        <v>12.11</v>
      </c>
      <c r="L514">
        <v>2.774</v>
      </c>
      <c r="M514" s="1">
        <v>10</v>
      </c>
      <c r="N514" s="1" t="s">
        <v>445</v>
      </c>
    </row>
    <row r="515" spans="1:14" x14ac:dyDescent="0.25">
      <c r="A515" t="s">
        <v>1769</v>
      </c>
      <c r="B515" t="s">
        <v>1609</v>
      </c>
      <c r="C515" t="s">
        <v>448</v>
      </c>
      <c r="D515" s="4">
        <v>4.9264969363174399E-2</v>
      </c>
      <c r="E515" s="3">
        <v>79133.961463911895</v>
      </c>
      <c r="H515" t="s">
        <v>259</v>
      </c>
      <c r="I515" t="s">
        <v>797</v>
      </c>
      <c r="J515" t="s">
        <v>798</v>
      </c>
      <c r="K515">
        <v>7.01</v>
      </c>
      <c r="L515">
        <v>2.774</v>
      </c>
      <c r="M515" s="1">
        <v>10</v>
      </c>
      <c r="N515" s="1" t="s">
        <v>445</v>
      </c>
    </row>
    <row r="516" spans="1:14" x14ac:dyDescent="0.25">
      <c r="A516" t="s">
        <v>1770</v>
      </c>
      <c r="B516" t="s">
        <v>1609</v>
      </c>
      <c r="C516" t="s">
        <v>9</v>
      </c>
      <c r="D516" s="4">
        <v>2.6783321703552E-2</v>
      </c>
      <c r="E516" s="3">
        <v>6708440.0874032499</v>
      </c>
      <c r="F516" s="3">
        <f>E516/7.8</f>
        <v>860056.42146195518</v>
      </c>
      <c r="G516" s="3">
        <f>F516/2</f>
        <v>430028.21073097759</v>
      </c>
      <c r="H516" t="s">
        <v>227</v>
      </c>
      <c r="I516" t="s">
        <v>866</v>
      </c>
      <c r="J516" t="s">
        <v>867</v>
      </c>
      <c r="K516">
        <v>14.66</v>
      </c>
      <c r="L516">
        <v>2.5129999999999999</v>
      </c>
      <c r="M516" s="1">
        <v>100</v>
      </c>
      <c r="N516" s="1" t="s">
        <v>445</v>
      </c>
    </row>
    <row r="517" spans="1:14" x14ac:dyDescent="0.25">
      <c r="A517" t="s">
        <v>1770</v>
      </c>
      <c r="B517" t="s">
        <v>1609</v>
      </c>
      <c r="C517" t="s">
        <v>448</v>
      </c>
      <c r="D517" s="4">
        <v>4.8989489241844798E-2</v>
      </c>
      <c r="E517" s="3">
        <v>879083.20853698999</v>
      </c>
      <c r="H517" t="s">
        <v>347</v>
      </c>
      <c r="I517" t="s">
        <v>868</v>
      </c>
      <c r="J517" t="s">
        <v>869</v>
      </c>
      <c r="K517">
        <v>7.65</v>
      </c>
      <c r="L517">
        <v>2.5129999999999999</v>
      </c>
      <c r="M517" s="1">
        <v>100</v>
      </c>
      <c r="N517" s="1" t="s">
        <v>445</v>
      </c>
    </row>
    <row r="518" spans="1:14" x14ac:dyDescent="0.25">
      <c r="A518" t="s">
        <v>1771</v>
      </c>
      <c r="B518" t="s">
        <v>1609</v>
      </c>
      <c r="C518" t="s">
        <v>9</v>
      </c>
      <c r="D518" s="4">
        <v>3.3536886931838303E-2</v>
      </c>
      <c r="E518" s="3">
        <v>1258764.71470307</v>
      </c>
      <c r="F518" s="3">
        <f>E518/7.8</f>
        <v>161380.09162859872</v>
      </c>
      <c r="G518" s="3">
        <f>F518/2</f>
        <v>80690.045814299359</v>
      </c>
      <c r="H518" t="s">
        <v>745</v>
      </c>
      <c r="I518" t="s">
        <v>886</v>
      </c>
      <c r="J518" t="s">
        <v>727</v>
      </c>
      <c r="K518">
        <v>13.39</v>
      </c>
      <c r="L518">
        <v>2.6749999999999998</v>
      </c>
      <c r="M518" s="1">
        <v>10</v>
      </c>
      <c r="N518" s="1" t="s">
        <v>445</v>
      </c>
    </row>
    <row r="519" spans="1:14" x14ac:dyDescent="0.25">
      <c r="A519" t="s">
        <v>1771</v>
      </c>
      <c r="B519" t="s">
        <v>1609</v>
      </c>
      <c r="C519" t="s">
        <v>448</v>
      </c>
      <c r="D519" s="4">
        <v>3.67614894372865E-2</v>
      </c>
      <c r="E519" s="3">
        <v>165771.130363462</v>
      </c>
      <c r="H519" t="s">
        <v>887</v>
      </c>
      <c r="I519" t="s">
        <v>888</v>
      </c>
      <c r="J519" t="s">
        <v>889</v>
      </c>
      <c r="K519">
        <v>7.01</v>
      </c>
      <c r="L519">
        <v>2.6749999999999998</v>
      </c>
      <c r="M519" s="1">
        <v>10</v>
      </c>
      <c r="N519" s="1" t="s">
        <v>445</v>
      </c>
    </row>
    <row r="520" spans="1:14" x14ac:dyDescent="0.25">
      <c r="A520" t="s">
        <v>1772</v>
      </c>
      <c r="B520" t="s">
        <v>1609</v>
      </c>
      <c r="C520" t="s">
        <v>9</v>
      </c>
      <c r="D520" s="4">
        <v>2.73227442663781E-2</v>
      </c>
      <c r="E520" s="3">
        <v>49279.445250990197</v>
      </c>
      <c r="F520" s="3">
        <f>E520/7.8</f>
        <v>6317.8775962807949</v>
      </c>
      <c r="G520" s="3">
        <f>F520/2</f>
        <v>3158.9387981403975</v>
      </c>
      <c r="H520" t="s">
        <v>114</v>
      </c>
      <c r="I520" t="s">
        <v>932</v>
      </c>
      <c r="J520" t="s">
        <v>905</v>
      </c>
      <c r="K520">
        <v>15.3</v>
      </c>
      <c r="L520">
        <v>2.5070000000000001</v>
      </c>
      <c r="M520" s="1" t="s">
        <v>20</v>
      </c>
      <c r="N520" s="1" t="s">
        <v>445</v>
      </c>
    </row>
    <row r="521" spans="1:14" x14ac:dyDescent="0.25">
      <c r="A521" t="s">
        <v>1772</v>
      </c>
      <c r="B521" t="s">
        <v>1609</v>
      </c>
      <c r="C521" t="s">
        <v>448</v>
      </c>
      <c r="D521" s="4">
        <v>5.0895067970699502E-2</v>
      </c>
      <c r="E521" s="3">
        <v>8094.1591008730702</v>
      </c>
      <c r="H521" t="s">
        <v>552</v>
      </c>
      <c r="I521" t="s">
        <v>933</v>
      </c>
      <c r="J521" t="s">
        <v>934</v>
      </c>
      <c r="K521">
        <v>7.01</v>
      </c>
      <c r="L521">
        <v>2.5070000000000001</v>
      </c>
      <c r="M521" s="1" t="s">
        <v>20</v>
      </c>
      <c r="N521" s="1" t="s">
        <v>445</v>
      </c>
    </row>
    <row r="522" spans="1:14" x14ac:dyDescent="0.25">
      <c r="A522" t="s">
        <v>1773</v>
      </c>
      <c r="B522" t="s">
        <v>1609</v>
      </c>
      <c r="C522" t="s">
        <v>9</v>
      </c>
      <c r="D522" s="4">
        <v>3.6004992307258697E-2</v>
      </c>
      <c r="E522" s="3">
        <v>14368709.6568208</v>
      </c>
      <c r="F522" s="3">
        <f>E522/7.8</f>
        <v>1842142.2636949744</v>
      </c>
      <c r="G522" s="3">
        <f>F522/2</f>
        <v>921071.13184748718</v>
      </c>
      <c r="H522" t="s">
        <v>347</v>
      </c>
      <c r="I522" t="s">
        <v>961</v>
      </c>
      <c r="J522" t="s">
        <v>1064</v>
      </c>
      <c r="K522">
        <v>14.66</v>
      </c>
      <c r="L522">
        <v>2.5640000000000001</v>
      </c>
      <c r="M522" s="1">
        <v>100</v>
      </c>
      <c r="N522" s="1" t="s">
        <v>445</v>
      </c>
    </row>
    <row r="523" spans="1:14" x14ac:dyDescent="0.25">
      <c r="A523" t="s">
        <v>1773</v>
      </c>
      <c r="B523" t="s">
        <v>1609</v>
      </c>
      <c r="C523" t="s">
        <v>448</v>
      </c>
      <c r="D523" s="4">
        <v>3.5292301513478203E-2</v>
      </c>
      <c r="E523" s="3">
        <v>1936320.4461869199</v>
      </c>
      <c r="H523" t="s">
        <v>223</v>
      </c>
      <c r="I523" t="s">
        <v>1065</v>
      </c>
      <c r="J523" t="s">
        <v>1066</v>
      </c>
      <c r="K523">
        <v>7.01</v>
      </c>
      <c r="L523">
        <v>2.5640000000000001</v>
      </c>
      <c r="M523" s="1">
        <v>100</v>
      </c>
      <c r="N523" s="1" t="s">
        <v>445</v>
      </c>
    </row>
    <row r="524" spans="1:14" x14ac:dyDescent="0.25">
      <c r="A524" t="s">
        <v>1774</v>
      </c>
      <c r="B524" t="s">
        <v>1609</v>
      </c>
      <c r="C524" t="s">
        <v>9</v>
      </c>
      <c r="D524" s="4">
        <v>2.6878825115773101E-2</v>
      </c>
      <c r="E524" s="3">
        <v>616994.98177990899</v>
      </c>
      <c r="F524" s="3">
        <f>E524/7.8</f>
        <v>79101.920741013979</v>
      </c>
      <c r="G524" s="3">
        <f>F524/2</f>
        <v>39550.960370506989</v>
      </c>
      <c r="H524" t="s">
        <v>1078</v>
      </c>
      <c r="I524" t="s">
        <v>1079</v>
      </c>
      <c r="J524" t="s">
        <v>1080</v>
      </c>
      <c r="K524">
        <v>10.84</v>
      </c>
      <c r="L524">
        <v>2.6619999999999999</v>
      </c>
      <c r="M524" s="1">
        <v>10</v>
      </c>
      <c r="N524" s="1" t="s">
        <v>445</v>
      </c>
    </row>
    <row r="525" spans="1:14" x14ac:dyDescent="0.25">
      <c r="A525" t="s">
        <v>1774</v>
      </c>
      <c r="B525" t="s">
        <v>1609</v>
      </c>
      <c r="C525" t="s">
        <v>448</v>
      </c>
      <c r="D525" s="4">
        <v>5.0812275643809003E-2</v>
      </c>
      <c r="E525" s="3">
        <v>77341.408491721493</v>
      </c>
      <c r="H525" t="s">
        <v>1081</v>
      </c>
      <c r="I525" t="s">
        <v>1082</v>
      </c>
      <c r="J525" t="s">
        <v>938</v>
      </c>
      <c r="K525">
        <v>7.65</v>
      </c>
      <c r="L525">
        <v>2.6619999999999999</v>
      </c>
      <c r="M525" s="1">
        <v>10</v>
      </c>
      <c r="N525" s="1" t="s">
        <v>445</v>
      </c>
    </row>
    <row r="526" spans="1:14" x14ac:dyDescent="0.25">
      <c r="A526" t="s">
        <v>1782</v>
      </c>
      <c r="B526" t="s">
        <v>1609</v>
      </c>
      <c r="C526" t="s">
        <v>9</v>
      </c>
      <c r="D526" s="4">
        <v>2.68943830776169E-2</v>
      </c>
      <c r="E526" s="3">
        <v>6746213.4456937397</v>
      </c>
      <c r="F526" s="3">
        <f>E526/7.8</f>
        <v>864899.1597043256</v>
      </c>
      <c r="G526" s="3">
        <f>F526/2</f>
        <v>432449.5798521628</v>
      </c>
      <c r="H526" t="s">
        <v>546</v>
      </c>
      <c r="I526" t="s">
        <v>1083</v>
      </c>
      <c r="J526" t="s">
        <v>344</v>
      </c>
      <c r="K526">
        <v>15.94</v>
      </c>
      <c r="L526">
        <v>2.6309999999999998</v>
      </c>
      <c r="M526" s="1">
        <v>100</v>
      </c>
      <c r="N526" s="1" t="s">
        <v>445</v>
      </c>
    </row>
    <row r="527" spans="1:14" x14ac:dyDescent="0.25">
      <c r="A527" t="s">
        <v>1782</v>
      </c>
      <c r="B527" t="s">
        <v>1609</v>
      </c>
      <c r="C527" t="s">
        <v>448</v>
      </c>
      <c r="D527" s="4">
        <v>5.1083468071887697E-2</v>
      </c>
      <c r="E527" s="3">
        <v>767740.42711940105</v>
      </c>
      <c r="H527" t="s">
        <v>204</v>
      </c>
      <c r="I527" t="s">
        <v>1084</v>
      </c>
      <c r="J527" t="s">
        <v>1085</v>
      </c>
      <c r="K527">
        <v>7.01</v>
      </c>
      <c r="L527">
        <v>2.6309999999999998</v>
      </c>
      <c r="M527" s="1">
        <v>100</v>
      </c>
      <c r="N527" s="1" t="s">
        <v>445</v>
      </c>
    </row>
    <row r="528" spans="1:14" x14ac:dyDescent="0.25">
      <c r="A528" t="s">
        <v>1783</v>
      </c>
      <c r="B528" t="s">
        <v>1609</v>
      </c>
      <c r="C528" t="s">
        <v>9</v>
      </c>
      <c r="D528" s="4">
        <v>3.0603823294206699E-2</v>
      </c>
      <c r="E528" s="3">
        <v>11451489.286791399</v>
      </c>
      <c r="F528" s="3">
        <f>E528/7.8</f>
        <v>1468139.6521527434</v>
      </c>
      <c r="G528" s="3">
        <f>F528/2</f>
        <v>734069.82607637171</v>
      </c>
      <c r="H528" t="s">
        <v>124</v>
      </c>
      <c r="I528" t="s">
        <v>1067</v>
      </c>
      <c r="J528" t="s">
        <v>1068</v>
      </c>
      <c r="K528">
        <v>12.11</v>
      </c>
      <c r="L528">
        <v>2.5419999999999998</v>
      </c>
      <c r="M528" s="1">
        <v>100</v>
      </c>
      <c r="N528" s="1" t="s">
        <v>445</v>
      </c>
    </row>
    <row r="529" spans="1:14" x14ac:dyDescent="0.25">
      <c r="A529" t="s">
        <v>1783</v>
      </c>
      <c r="B529" t="s">
        <v>1609</v>
      </c>
      <c r="C529" t="s">
        <v>448</v>
      </c>
      <c r="D529" s="4">
        <v>3.8899437279823902E-2</v>
      </c>
      <c r="E529" s="3">
        <v>1507885.1505535401</v>
      </c>
      <c r="H529" t="s">
        <v>50</v>
      </c>
      <c r="I529" t="s">
        <v>1069</v>
      </c>
      <c r="J529" t="s">
        <v>1070</v>
      </c>
      <c r="K529">
        <v>7.01</v>
      </c>
      <c r="L529">
        <v>2.5419999999999998</v>
      </c>
      <c r="M529" s="1">
        <v>100</v>
      </c>
      <c r="N529" s="1" t="s">
        <v>445</v>
      </c>
    </row>
    <row r="530" spans="1:14" x14ac:dyDescent="0.25">
      <c r="A530" t="s">
        <v>1784</v>
      </c>
      <c r="B530" t="s">
        <v>1609</v>
      </c>
      <c r="C530" t="s">
        <v>9</v>
      </c>
      <c r="D530" s="4">
        <v>2.8171741807266702E-2</v>
      </c>
      <c r="E530" s="3">
        <v>430750.231118439</v>
      </c>
      <c r="F530" s="3">
        <f>E530/7.8</f>
        <v>55224.388604928077</v>
      </c>
      <c r="G530" s="3">
        <f>F530/2</f>
        <v>27612.194302464039</v>
      </c>
      <c r="H530" t="s">
        <v>1018</v>
      </c>
      <c r="I530" t="s">
        <v>1019</v>
      </c>
      <c r="J530" t="s">
        <v>1020</v>
      </c>
      <c r="K530">
        <v>10.84</v>
      </c>
      <c r="L530">
        <v>2.6589999999999998</v>
      </c>
      <c r="M530" s="1">
        <v>10</v>
      </c>
      <c r="N530" s="1" t="s">
        <v>445</v>
      </c>
    </row>
    <row r="531" spans="1:14" x14ac:dyDescent="0.25">
      <c r="A531" t="s">
        <v>1784</v>
      </c>
      <c r="B531" t="s">
        <v>1609</v>
      </c>
      <c r="C531" t="s">
        <v>448</v>
      </c>
      <c r="D531" s="4">
        <v>6.0943926094952999E-2</v>
      </c>
      <c r="E531" s="3">
        <v>53550.730435587102</v>
      </c>
      <c r="H531" t="s">
        <v>1021</v>
      </c>
      <c r="I531" t="s">
        <v>1022</v>
      </c>
      <c r="J531" t="s">
        <v>1023</v>
      </c>
      <c r="K531">
        <v>8.2899999999999991</v>
      </c>
      <c r="L531">
        <v>2.6589999999999998</v>
      </c>
      <c r="M531" s="1">
        <v>10</v>
      </c>
      <c r="N531" s="1" t="s">
        <v>445</v>
      </c>
    </row>
    <row r="532" spans="1:14" x14ac:dyDescent="0.25">
      <c r="A532" t="s">
        <v>1785</v>
      </c>
      <c r="B532" t="s">
        <v>1609</v>
      </c>
      <c r="C532" t="s">
        <v>9</v>
      </c>
      <c r="D532" s="4">
        <v>2.6805799869312301E-2</v>
      </c>
      <c r="E532" s="3">
        <v>6118728.0361823598</v>
      </c>
      <c r="F532" s="3">
        <f>E532/7.8</f>
        <v>784452.31233107182</v>
      </c>
      <c r="G532" s="3">
        <f>F532/2</f>
        <v>392226.15616553591</v>
      </c>
      <c r="H532" t="s">
        <v>76</v>
      </c>
      <c r="I532" t="s">
        <v>935</v>
      </c>
      <c r="J532" t="s">
        <v>936</v>
      </c>
      <c r="K532">
        <v>12.11</v>
      </c>
      <c r="L532">
        <v>2.62</v>
      </c>
      <c r="M532" s="1">
        <v>100</v>
      </c>
      <c r="N532" s="1" t="s">
        <v>445</v>
      </c>
    </row>
    <row r="533" spans="1:14" x14ac:dyDescent="0.25">
      <c r="A533" t="s">
        <v>1785</v>
      </c>
      <c r="B533" t="s">
        <v>1609</v>
      </c>
      <c r="C533" t="s">
        <v>448</v>
      </c>
      <c r="D533" s="4">
        <v>4.9987465851200702E-2</v>
      </c>
      <c r="E533" s="3">
        <v>809573.12818192004</v>
      </c>
      <c r="H533" t="s">
        <v>685</v>
      </c>
      <c r="I533" t="s">
        <v>937</v>
      </c>
      <c r="J533" t="s">
        <v>938</v>
      </c>
      <c r="K533">
        <v>7.01</v>
      </c>
      <c r="L533">
        <v>2.62</v>
      </c>
      <c r="M533" s="1">
        <v>100</v>
      </c>
      <c r="N533" s="1" t="s">
        <v>445</v>
      </c>
    </row>
    <row r="534" spans="1:14" x14ac:dyDescent="0.25">
      <c r="A534" t="s">
        <v>1795</v>
      </c>
      <c r="B534" t="s">
        <v>1609</v>
      </c>
      <c r="C534" t="s">
        <v>9</v>
      </c>
      <c r="D534" s="4">
        <v>5.1482054435476703E-2</v>
      </c>
      <c r="E534" s="3">
        <v>18970450.3091035</v>
      </c>
      <c r="F534" s="3">
        <f>E534/7.8</f>
        <v>2432109.0139876283</v>
      </c>
      <c r="G534" s="3">
        <f>F534/2</f>
        <v>1216054.5069938141</v>
      </c>
      <c r="H534" t="s">
        <v>114</v>
      </c>
      <c r="I534" t="s">
        <v>259</v>
      </c>
      <c r="J534" t="s">
        <v>890</v>
      </c>
      <c r="K534">
        <v>13.39</v>
      </c>
      <c r="L534">
        <v>2.6259999999999999</v>
      </c>
      <c r="M534" s="1">
        <v>100</v>
      </c>
      <c r="N534" s="1" t="s">
        <v>445</v>
      </c>
    </row>
    <row r="535" spans="1:14" x14ac:dyDescent="0.25">
      <c r="A535" t="s">
        <v>1795</v>
      </c>
      <c r="B535" t="s">
        <v>1609</v>
      </c>
      <c r="C535" t="s">
        <v>448</v>
      </c>
      <c r="D535" s="4">
        <v>3.2348252990645802E-2</v>
      </c>
      <c r="E535" s="3">
        <v>2378970.9209204498</v>
      </c>
      <c r="H535" t="s">
        <v>114</v>
      </c>
      <c r="I535" t="s">
        <v>891</v>
      </c>
      <c r="J535" t="s">
        <v>892</v>
      </c>
      <c r="K535">
        <v>7.01</v>
      </c>
      <c r="L535">
        <v>2.6259999999999999</v>
      </c>
      <c r="M535" s="1">
        <v>100</v>
      </c>
      <c r="N535" s="1" t="s">
        <v>445</v>
      </c>
    </row>
    <row r="536" spans="1:14" x14ac:dyDescent="0.25">
      <c r="A536" t="s">
        <v>1796</v>
      </c>
      <c r="B536" t="s">
        <v>1609</v>
      </c>
      <c r="C536" t="s">
        <v>9</v>
      </c>
      <c r="D536" s="4">
        <v>2.8800154825274801E-2</v>
      </c>
      <c r="E536" s="3">
        <v>998206.63413985795</v>
      </c>
      <c r="F536" s="3">
        <f>E536/7.8</f>
        <v>127975.20950511</v>
      </c>
      <c r="G536" s="3">
        <f>F536/2</f>
        <v>63987.604752555002</v>
      </c>
      <c r="H536" t="s">
        <v>67</v>
      </c>
      <c r="I536" t="s">
        <v>870</v>
      </c>
      <c r="J536" t="s">
        <v>871</v>
      </c>
      <c r="K536">
        <v>14.03</v>
      </c>
      <c r="L536">
        <v>2.544</v>
      </c>
      <c r="M536" s="1">
        <v>10</v>
      </c>
      <c r="N536" s="1" t="s">
        <v>445</v>
      </c>
    </row>
    <row r="537" spans="1:14" x14ac:dyDescent="0.25">
      <c r="A537" t="s">
        <v>1796</v>
      </c>
      <c r="B537" t="s">
        <v>1609</v>
      </c>
      <c r="C537" t="s">
        <v>448</v>
      </c>
      <c r="D537" s="4">
        <v>4.3240325214182501E-2</v>
      </c>
      <c r="E537" s="3">
        <v>115560.822465479</v>
      </c>
      <c r="H537" t="s">
        <v>324</v>
      </c>
      <c r="I537" t="s">
        <v>872</v>
      </c>
      <c r="J537" t="s">
        <v>873</v>
      </c>
      <c r="K537">
        <v>7.01</v>
      </c>
      <c r="L537">
        <v>2.544</v>
      </c>
      <c r="M537" s="1">
        <v>10</v>
      </c>
      <c r="N537" s="1" t="s">
        <v>445</v>
      </c>
    </row>
    <row r="538" spans="1:14" x14ac:dyDescent="0.25">
      <c r="A538" t="s">
        <v>1797</v>
      </c>
      <c r="B538" t="s">
        <v>1609</v>
      </c>
      <c r="C538" t="s">
        <v>9</v>
      </c>
      <c r="D538" s="4">
        <v>4.3863643654222802E-2</v>
      </c>
      <c r="E538" s="3">
        <v>165933.34036971899</v>
      </c>
      <c r="F538" s="3">
        <f>E538/7.8</f>
        <v>21273.505175604998</v>
      </c>
      <c r="G538" s="3">
        <f>F538/2</f>
        <v>10636.752587802499</v>
      </c>
      <c r="H538" t="s">
        <v>407</v>
      </c>
      <c r="I538" t="s">
        <v>799</v>
      </c>
      <c r="J538" t="s">
        <v>800</v>
      </c>
      <c r="K538">
        <v>12.11</v>
      </c>
      <c r="L538">
        <v>2.673</v>
      </c>
      <c r="M538" s="1" t="s">
        <v>20</v>
      </c>
      <c r="N538" s="1" t="s">
        <v>445</v>
      </c>
    </row>
    <row r="539" spans="1:14" x14ac:dyDescent="0.25">
      <c r="A539" t="s">
        <v>1797</v>
      </c>
      <c r="B539" t="s">
        <v>1609</v>
      </c>
      <c r="C539" t="s">
        <v>448</v>
      </c>
      <c r="D539" s="4">
        <v>3.2390729064581097E-2</v>
      </c>
      <c r="E539" s="3">
        <v>23462.838326147299</v>
      </c>
      <c r="H539" t="s">
        <v>407</v>
      </c>
      <c r="I539" t="s">
        <v>801</v>
      </c>
      <c r="J539" t="s">
        <v>802</v>
      </c>
      <c r="K539">
        <v>7.01</v>
      </c>
      <c r="L539">
        <v>2.673</v>
      </c>
      <c r="M539" s="1" t="s">
        <v>20</v>
      </c>
      <c r="N539" s="1" t="s">
        <v>445</v>
      </c>
    </row>
    <row r="540" spans="1:14" x14ac:dyDescent="0.25">
      <c r="A540" t="s">
        <v>1798</v>
      </c>
      <c r="B540" t="s">
        <v>1609</v>
      </c>
      <c r="C540" t="s">
        <v>9</v>
      </c>
      <c r="D540" s="4">
        <v>2.8887790646107501E-2</v>
      </c>
      <c r="E540" s="3">
        <v>94318.194933625695</v>
      </c>
      <c r="F540" s="3">
        <f>E540/7.8</f>
        <v>12092.076273541756</v>
      </c>
      <c r="G540" s="3">
        <f>F540/2</f>
        <v>6046.0381367708778</v>
      </c>
      <c r="H540" t="s">
        <v>207</v>
      </c>
      <c r="I540" t="s">
        <v>772</v>
      </c>
      <c r="J540" t="s">
        <v>773</v>
      </c>
      <c r="K540">
        <v>10.84</v>
      </c>
      <c r="L540">
        <v>2.71</v>
      </c>
      <c r="M540" s="1" t="s">
        <v>20</v>
      </c>
      <c r="N540" s="1" t="s">
        <v>445</v>
      </c>
    </row>
    <row r="541" spans="1:14" x14ac:dyDescent="0.25">
      <c r="A541" t="s">
        <v>1798</v>
      </c>
      <c r="B541" t="s">
        <v>1609</v>
      </c>
      <c r="C541" t="s">
        <v>448</v>
      </c>
      <c r="D541" s="4">
        <v>5.4158778873299798E-2</v>
      </c>
      <c r="E541" s="3">
        <v>6513.0904494358401</v>
      </c>
      <c r="H541" t="s">
        <v>207</v>
      </c>
      <c r="I541" t="s">
        <v>774</v>
      </c>
      <c r="J541" t="s">
        <v>247</v>
      </c>
      <c r="K541">
        <v>7.01</v>
      </c>
      <c r="L541">
        <v>2.71</v>
      </c>
      <c r="M541" s="1" t="s">
        <v>20</v>
      </c>
      <c r="N541" s="1" t="s">
        <v>445</v>
      </c>
    </row>
    <row r="542" spans="1:14" x14ac:dyDescent="0.25">
      <c r="A542" t="s">
        <v>1804</v>
      </c>
      <c r="B542" t="s">
        <v>1609</v>
      </c>
      <c r="C542" t="s">
        <v>9</v>
      </c>
      <c r="D542" s="4">
        <v>2.8630361956739701E-2</v>
      </c>
      <c r="E542" s="3">
        <v>3798561.5502595701</v>
      </c>
      <c r="F542" s="3">
        <f>E542/7.8</f>
        <v>486995.07054609875</v>
      </c>
      <c r="G542" s="3">
        <f>F542/2</f>
        <v>243497.53527304938</v>
      </c>
      <c r="H542" t="s">
        <v>893</v>
      </c>
      <c r="I542" t="s">
        <v>894</v>
      </c>
      <c r="J542" t="s">
        <v>895</v>
      </c>
      <c r="K542">
        <v>15.94</v>
      </c>
      <c r="L542">
        <v>2.5329999999999999</v>
      </c>
      <c r="M542" s="1">
        <v>100</v>
      </c>
      <c r="N542" s="1" t="s">
        <v>445</v>
      </c>
    </row>
    <row r="543" spans="1:14" x14ac:dyDescent="0.25">
      <c r="A543" t="s">
        <v>1804</v>
      </c>
      <c r="B543" t="s">
        <v>1609</v>
      </c>
      <c r="C543" t="s">
        <v>448</v>
      </c>
      <c r="D543" s="4">
        <v>6.5808713593883406E-2</v>
      </c>
      <c r="E543" s="3">
        <v>458181.827847042</v>
      </c>
      <c r="H543" t="s">
        <v>76</v>
      </c>
      <c r="I543" t="s">
        <v>896</v>
      </c>
      <c r="J543" t="s">
        <v>897</v>
      </c>
      <c r="K543">
        <v>7.01</v>
      </c>
      <c r="L543">
        <v>2.5329999999999999</v>
      </c>
      <c r="M543" s="1">
        <v>100</v>
      </c>
      <c r="N543" s="1" t="s">
        <v>445</v>
      </c>
    </row>
    <row r="544" spans="1:14" x14ac:dyDescent="0.25">
      <c r="A544" t="s">
        <v>1805</v>
      </c>
      <c r="B544" t="s">
        <v>1609</v>
      </c>
      <c r="C544" t="s">
        <v>9</v>
      </c>
      <c r="D544" s="4">
        <v>2.71443139478099E-2</v>
      </c>
      <c r="E544" s="3">
        <v>514817.27439919999</v>
      </c>
      <c r="F544" s="3">
        <f>E544/7.8</f>
        <v>66002.214666564105</v>
      </c>
      <c r="G544" s="3">
        <f>F544/2</f>
        <v>33001.107333282052</v>
      </c>
      <c r="H544" t="s">
        <v>324</v>
      </c>
      <c r="I544" t="s">
        <v>874</v>
      </c>
      <c r="J544" t="s">
        <v>875</v>
      </c>
      <c r="K544">
        <v>12.11</v>
      </c>
      <c r="L544">
        <v>2.5369999999999999</v>
      </c>
      <c r="M544" s="1">
        <v>10</v>
      </c>
      <c r="N544" s="1" t="s">
        <v>445</v>
      </c>
    </row>
    <row r="545" spans="1:14" x14ac:dyDescent="0.25">
      <c r="A545" t="s">
        <v>1805</v>
      </c>
      <c r="B545" t="s">
        <v>1609</v>
      </c>
      <c r="C545" t="s">
        <v>448</v>
      </c>
      <c r="D545" s="4">
        <v>5.7018664254060401E-2</v>
      </c>
      <c r="E545" s="3">
        <v>62309.253973995503</v>
      </c>
      <c r="H545" t="s">
        <v>88</v>
      </c>
      <c r="I545" t="s">
        <v>876</v>
      </c>
      <c r="J545" t="s">
        <v>877</v>
      </c>
      <c r="K545">
        <v>7.01</v>
      </c>
      <c r="L545">
        <v>2.5369999999999999</v>
      </c>
      <c r="M545" s="1">
        <v>10</v>
      </c>
      <c r="N545" s="1" t="s">
        <v>445</v>
      </c>
    </row>
    <row r="546" spans="1:14" x14ac:dyDescent="0.25">
      <c r="A546" t="s">
        <v>1807</v>
      </c>
      <c r="B546" t="s">
        <v>1609</v>
      </c>
      <c r="C546" t="s">
        <v>9</v>
      </c>
      <c r="D546" s="4">
        <v>2.98777147529945E-2</v>
      </c>
      <c r="E546" s="3">
        <v>3048521.22209395</v>
      </c>
      <c r="F546" s="3">
        <f>E546/7.8</f>
        <v>390836.05411460897</v>
      </c>
      <c r="G546" s="3">
        <f>F546/2</f>
        <v>195418.02705730448</v>
      </c>
      <c r="H546" t="s">
        <v>130</v>
      </c>
      <c r="I546" t="s">
        <v>803</v>
      </c>
      <c r="J546" t="s">
        <v>804</v>
      </c>
      <c r="K546">
        <v>12.75</v>
      </c>
      <c r="L546">
        <v>2.6659999999999999</v>
      </c>
      <c r="M546" s="1">
        <v>100</v>
      </c>
      <c r="N546" s="1" t="s">
        <v>445</v>
      </c>
    </row>
    <row r="547" spans="1:14" x14ac:dyDescent="0.25">
      <c r="A547" t="s">
        <v>1807</v>
      </c>
      <c r="B547" t="s">
        <v>1609</v>
      </c>
      <c r="C547" t="s">
        <v>448</v>
      </c>
      <c r="D547" s="4">
        <v>7.1595847016358793E-2</v>
      </c>
      <c r="E547" s="3">
        <v>364294.00162641</v>
      </c>
      <c r="H547" t="s">
        <v>130</v>
      </c>
      <c r="I547" t="s">
        <v>805</v>
      </c>
      <c r="J547" t="s">
        <v>296</v>
      </c>
      <c r="K547">
        <v>8.93</v>
      </c>
      <c r="L547">
        <v>2.6659999999999999</v>
      </c>
      <c r="M547" s="1">
        <v>100</v>
      </c>
      <c r="N547" s="1" t="s">
        <v>445</v>
      </c>
    </row>
    <row r="548" spans="1:14" x14ac:dyDescent="0.25">
      <c r="A548" t="s">
        <v>1827</v>
      </c>
      <c r="B548" t="s">
        <v>1609</v>
      </c>
      <c r="C548" t="s">
        <v>9</v>
      </c>
      <c r="D548" s="4">
        <v>2.7124740387784101E-2</v>
      </c>
      <c r="E548" s="3">
        <v>7419316.87450488</v>
      </c>
      <c r="F548" s="3">
        <f>E548/7.8</f>
        <v>951194.47109036928</v>
      </c>
      <c r="G548" s="3">
        <f>F548/2</f>
        <v>475597.23554518464</v>
      </c>
      <c r="H548" t="s">
        <v>53</v>
      </c>
      <c r="I548" t="s">
        <v>1086</v>
      </c>
      <c r="J548" t="s">
        <v>1087</v>
      </c>
      <c r="K548">
        <v>15.3</v>
      </c>
      <c r="L548">
        <v>2.6360000000000001</v>
      </c>
      <c r="M548" s="1">
        <v>100</v>
      </c>
      <c r="N548" s="1" t="s">
        <v>445</v>
      </c>
    </row>
    <row r="549" spans="1:14" x14ac:dyDescent="0.25">
      <c r="A549" t="s">
        <v>1827</v>
      </c>
      <c r="B549" t="s">
        <v>1609</v>
      </c>
      <c r="C549" t="s">
        <v>448</v>
      </c>
      <c r="D549" s="4">
        <v>5.0643010810070298E-2</v>
      </c>
      <c r="E549" s="3">
        <v>781333.78496348497</v>
      </c>
      <c r="H549" t="s">
        <v>111</v>
      </c>
      <c r="I549" t="s">
        <v>1088</v>
      </c>
      <c r="J549" t="s">
        <v>1089</v>
      </c>
      <c r="K549">
        <v>7.65</v>
      </c>
      <c r="L549">
        <v>2.6360000000000001</v>
      </c>
      <c r="M549" s="1">
        <v>100</v>
      </c>
      <c r="N549" s="1" t="s">
        <v>445</v>
      </c>
    </row>
    <row r="550" spans="1:14" x14ac:dyDescent="0.25">
      <c r="A550" t="s">
        <v>1828</v>
      </c>
      <c r="B550" t="s">
        <v>1609</v>
      </c>
      <c r="C550" t="s">
        <v>9</v>
      </c>
      <c r="D550" s="4">
        <v>2.7317557515641799E-2</v>
      </c>
      <c r="E550" s="3">
        <v>782834.99360167596</v>
      </c>
      <c r="F550" s="3">
        <f>E550/7.8</f>
        <v>100363.46071816358</v>
      </c>
      <c r="G550" s="3">
        <f>F550/2</f>
        <v>50181.73035908179</v>
      </c>
      <c r="H550" t="s">
        <v>136</v>
      </c>
      <c r="I550" t="s">
        <v>1071</v>
      </c>
      <c r="J550" t="s">
        <v>1072</v>
      </c>
      <c r="K550">
        <v>15.94</v>
      </c>
      <c r="L550">
        <v>2.63</v>
      </c>
      <c r="M550" s="1">
        <v>10</v>
      </c>
      <c r="N550" s="1" t="s">
        <v>445</v>
      </c>
    </row>
    <row r="551" spans="1:14" x14ac:dyDescent="0.25">
      <c r="A551" t="s">
        <v>1828</v>
      </c>
      <c r="B551" t="s">
        <v>1609</v>
      </c>
      <c r="C551" t="s">
        <v>448</v>
      </c>
      <c r="D551" s="4">
        <v>4.5561457868789103E-2</v>
      </c>
      <c r="E551" s="3">
        <v>100131.729622693</v>
      </c>
      <c r="H551" t="s">
        <v>46</v>
      </c>
      <c r="I551" t="s">
        <v>1073</v>
      </c>
      <c r="J551" t="s">
        <v>1074</v>
      </c>
      <c r="K551">
        <v>7.01</v>
      </c>
      <c r="L551">
        <v>2.63</v>
      </c>
      <c r="M551" s="1">
        <v>10</v>
      </c>
      <c r="N551" s="1" t="s">
        <v>445</v>
      </c>
    </row>
    <row r="552" spans="1:14" x14ac:dyDescent="0.25">
      <c r="A552" t="s">
        <v>1829</v>
      </c>
      <c r="B552" t="s">
        <v>1609</v>
      </c>
      <c r="C552" t="s">
        <v>9</v>
      </c>
      <c r="D552" s="4">
        <v>2.78247024595559E-2</v>
      </c>
      <c r="E552" s="3">
        <v>412847.6965133</v>
      </c>
      <c r="F552" s="3">
        <f>E552/7.8</f>
        <v>52929.191860679486</v>
      </c>
      <c r="G552" s="3">
        <f>F552/2</f>
        <v>26464.595930339743</v>
      </c>
      <c r="H552" t="s">
        <v>169</v>
      </c>
      <c r="I552" t="s">
        <v>1024</v>
      </c>
      <c r="J552" t="s">
        <v>1025</v>
      </c>
      <c r="K552">
        <v>15.94</v>
      </c>
      <c r="L552">
        <v>2.6880000000000002</v>
      </c>
      <c r="M552" s="1">
        <v>10</v>
      </c>
      <c r="N552" s="1" t="s">
        <v>445</v>
      </c>
    </row>
    <row r="553" spans="1:14" x14ac:dyDescent="0.25">
      <c r="A553" t="s">
        <v>1829</v>
      </c>
      <c r="B553" t="s">
        <v>1609</v>
      </c>
      <c r="C553" t="s">
        <v>448</v>
      </c>
      <c r="D553" s="4">
        <v>6.3597172125785806E-2</v>
      </c>
      <c r="E553" s="3">
        <v>46511.894088354296</v>
      </c>
      <c r="H553" t="s">
        <v>91</v>
      </c>
      <c r="I553" t="s">
        <v>1026</v>
      </c>
      <c r="J553" t="s">
        <v>1027</v>
      </c>
      <c r="K553">
        <v>9.56</v>
      </c>
      <c r="L553">
        <v>2.6880000000000002</v>
      </c>
      <c r="M553" s="1">
        <v>10</v>
      </c>
      <c r="N553" s="1" t="s">
        <v>445</v>
      </c>
    </row>
    <row r="554" spans="1:14" x14ac:dyDescent="0.25">
      <c r="A554" t="s">
        <v>1830</v>
      </c>
      <c r="B554" t="s">
        <v>1609</v>
      </c>
      <c r="C554" t="s">
        <v>9</v>
      </c>
      <c r="D554" s="4">
        <v>2.6884536350992898E-2</v>
      </c>
      <c r="E554" s="3">
        <v>66944.376330017098</v>
      </c>
      <c r="F554" s="3">
        <f>E554/7.8</f>
        <v>8582.6123500021913</v>
      </c>
      <c r="G554" s="3">
        <f>F554/2</f>
        <v>4291.3061750010957</v>
      </c>
      <c r="H554" t="s">
        <v>124</v>
      </c>
      <c r="I554" t="s">
        <v>939</v>
      </c>
      <c r="J554" t="s">
        <v>940</v>
      </c>
      <c r="K554">
        <v>13.39</v>
      </c>
      <c r="L554">
        <v>2.681</v>
      </c>
      <c r="M554" s="1" t="s">
        <v>20</v>
      </c>
      <c r="N554" s="1" t="s">
        <v>445</v>
      </c>
    </row>
    <row r="555" spans="1:14" x14ac:dyDescent="0.25">
      <c r="A555" t="s">
        <v>1830</v>
      </c>
      <c r="B555" t="s">
        <v>1609</v>
      </c>
      <c r="C555" t="s">
        <v>448</v>
      </c>
      <c r="D555" s="4">
        <v>5.0295260607764201E-2</v>
      </c>
      <c r="E555" s="3">
        <v>7787.6514588260598</v>
      </c>
      <c r="H555" t="s">
        <v>213</v>
      </c>
      <c r="I555" t="s">
        <v>849</v>
      </c>
      <c r="J555" t="s">
        <v>608</v>
      </c>
      <c r="K555">
        <v>7.01</v>
      </c>
      <c r="L555">
        <v>2.681</v>
      </c>
      <c r="M555" s="1" t="s">
        <v>20</v>
      </c>
      <c r="N555" s="1" t="s">
        <v>445</v>
      </c>
    </row>
    <row r="556" spans="1:14" x14ac:dyDescent="0.25">
      <c r="A556" t="s">
        <v>1851</v>
      </c>
      <c r="B556" t="s">
        <v>1609</v>
      </c>
      <c r="C556" t="s">
        <v>9</v>
      </c>
      <c r="D556" s="4">
        <v>7.0185566891284495E-2</v>
      </c>
      <c r="E556" s="3">
        <v>218699.16362177001</v>
      </c>
      <c r="F556" s="3">
        <f>E556/7.8</f>
        <v>28038.354310483337</v>
      </c>
      <c r="G556" s="3">
        <f>F556/2</f>
        <v>14019.177155241669</v>
      </c>
      <c r="H556" t="s">
        <v>162</v>
      </c>
      <c r="I556" t="s">
        <v>421</v>
      </c>
      <c r="J556" t="s">
        <v>775</v>
      </c>
      <c r="K556">
        <v>17.07</v>
      </c>
      <c r="L556">
        <v>2.6909999999999998</v>
      </c>
      <c r="M556" s="1" t="s">
        <v>20</v>
      </c>
      <c r="N556" s="1" t="s">
        <v>445</v>
      </c>
    </row>
    <row r="557" spans="1:14" x14ac:dyDescent="0.25">
      <c r="A557" t="s">
        <v>1851</v>
      </c>
      <c r="B557" t="s">
        <v>1609</v>
      </c>
      <c r="C557" t="s">
        <v>448</v>
      </c>
      <c r="D557" s="4">
        <v>3.0981477981642799E-2</v>
      </c>
      <c r="E557" s="3">
        <v>26598.652643694899</v>
      </c>
      <c r="H557" t="s">
        <v>162</v>
      </c>
      <c r="I557" t="s">
        <v>776</v>
      </c>
      <c r="J557" t="s">
        <v>777</v>
      </c>
      <c r="K557">
        <v>7.01</v>
      </c>
      <c r="L557">
        <v>2.6909999999999998</v>
      </c>
      <c r="M557" s="1" t="s">
        <v>20</v>
      </c>
      <c r="N557" s="1" t="s">
        <v>445</v>
      </c>
    </row>
    <row r="558" spans="1:14" x14ac:dyDescent="0.25">
      <c r="A558" t="s">
        <v>1852</v>
      </c>
      <c r="B558" t="s">
        <v>1609</v>
      </c>
      <c r="C558" t="s">
        <v>9</v>
      </c>
      <c r="D558" s="4">
        <v>3.0619575600417299E-2</v>
      </c>
      <c r="E558" s="3">
        <v>29574.9526260067</v>
      </c>
      <c r="F558" s="3">
        <f>E558/7.8</f>
        <v>3791.6605930777819</v>
      </c>
      <c r="G558" s="3">
        <f>F558/2</f>
        <v>1895.8302965388909</v>
      </c>
      <c r="H558" t="s">
        <v>124</v>
      </c>
      <c r="I558" t="s">
        <v>941</v>
      </c>
      <c r="J558" t="s">
        <v>942</v>
      </c>
      <c r="K558">
        <v>11.48</v>
      </c>
      <c r="L558">
        <v>2.5209999999999999</v>
      </c>
      <c r="M558" s="1" t="s">
        <v>20</v>
      </c>
      <c r="N558" s="1" t="s">
        <v>445</v>
      </c>
    </row>
    <row r="559" spans="1:14" x14ac:dyDescent="0.25">
      <c r="A559" t="s">
        <v>1852</v>
      </c>
      <c r="B559" t="s">
        <v>1609</v>
      </c>
      <c r="C559" t="s">
        <v>448</v>
      </c>
      <c r="D559" s="4">
        <v>7.1883490860805893E-2</v>
      </c>
      <c r="E559" s="3">
        <v>3819.6659525906098</v>
      </c>
      <c r="H559" t="s">
        <v>124</v>
      </c>
      <c r="I559" t="s">
        <v>943</v>
      </c>
      <c r="J559" t="s">
        <v>944</v>
      </c>
      <c r="K559">
        <v>7.01</v>
      </c>
      <c r="L559">
        <v>2.5209999999999999</v>
      </c>
      <c r="M559" s="1" t="s">
        <v>20</v>
      </c>
      <c r="N559" s="1" t="s">
        <v>445</v>
      </c>
    </row>
    <row r="560" spans="1:14" x14ac:dyDescent="0.25">
      <c r="A560" t="s">
        <v>1853</v>
      </c>
      <c r="B560" t="s">
        <v>1609</v>
      </c>
      <c r="C560" t="s">
        <v>9</v>
      </c>
      <c r="D560" s="4">
        <v>2.71130908027436E-2</v>
      </c>
      <c r="E560" s="3">
        <v>50263.079155196203</v>
      </c>
      <c r="F560" s="3">
        <f>E560/7.8</f>
        <v>6443.9845070764368</v>
      </c>
      <c r="G560" s="3">
        <f>F560/2</f>
        <v>3221.9922535382184</v>
      </c>
      <c r="H560" t="s">
        <v>71</v>
      </c>
      <c r="I560" t="s">
        <v>806</v>
      </c>
      <c r="J560" t="s">
        <v>807</v>
      </c>
      <c r="K560">
        <v>12.11</v>
      </c>
      <c r="L560">
        <v>2.6360000000000001</v>
      </c>
      <c r="M560" s="1" t="s">
        <v>20</v>
      </c>
      <c r="N560" s="1" t="s">
        <v>445</v>
      </c>
    </row>
    <row r="561" spans="1:14" x14ac:dyDescent="0.25">
      <c r="A561" t="s">
        <v>1853</v>
      </c>
      <c r="B561" t="s">
        <v>1609</v>
      </c>
      <c r="C561" t="s">
        <v>448</v>
      </c>
      <c r="D561" s="4">
        <v>5.1134572494613097E-2</v>
      </c>
      <c r="E561" s="3">
        <v>7624.1288468268804</v>
      </c>
      <c r="H561" t="s">
        <v>546</v>
      </c>
      <c r="I561" t="s">
        <v>792</v>
      </c>
      <c r="J561" t="s">
        <v>808</v>
      </c>
      <c r="K561">
        <v>7.01</v>
      </c>
      <c r="L561">
        <v>2.6360000000000001</v>
      </c>
      <c r="M561" s="1" t="s">
        <v>20</v>
      </c>
      <c r="N561" s="1" t="s">
        <v>445</v>
      </c>
    </row>
    <row r="562" spans="1:14" x14ac:dyDescent="0.25">
      <c r="A562" t="s">
        <v>1855</v>
      </c>
      <c r="B562" t="s">
        <v>1609</v>
      </c>
      <c r="C562" t="s">
        <v>9</v>
      </c>
      <c r="D562" s="4">
        <v>3.5143038665593498E-2</v>
      </c>
      <c r="E562" s="3">
        <v>139891.588520477</v>
      </c>
      <c r="F562" s="3">
        <f>E562/7.8</f>
        <v>17934.819041086794</v>
      </c>
      <c r="G562" s="3">
        <f>F562/2</f>
        <v>8967.4095205433969</v>
      </c>
      <c r="H562" t="s">
        <v>133</v>
      </c>
      <c r="I562" t="s">
        <v>878</v>
      </c>
      <c r="J562" t="s">
        <v>879</v>
      </c>
      <c r="K562">
        <v>12.75</v>
      </c>
      <c r="L562">
        <v>2.5590000000000002</v>
      </c>
      <c r="M562" s="1" t="s">
        <v>20</v>
      </c>
      <c r="N562" s="1" t="s">
        <v>445</v>
      </c>
    </row>
    <row r="563" spans="1:14" x14ac:dyDescent="0.25">
      <c r="A563" t="s">
        <v>1855</v>
      </c>
      <c r="B563" t="s">
        <v>1609</v>
      </c>
      <c r="C563" t="s">
        <v>448</v>
      </c>
      <c r="D563" s="4">
        <v>3.7866398365143099E-2</v>
      </c>
      <c r="E563" s="3">
        <v>16088.0606871047</v>
      </c>
      <c r="H563" t="s">
        <v>153</v>
      </c>
      <c r="I563" t="s">
        <v>880</v>
      </c>
      <c r="J563" t="s">
        <v>881</v>
      </c>
      <c r="K563">
        <v>7.65</v>
      </c>
      <c r="L563">
        <v>2.5590000000000002</v>
      </c>
      <c r="M563" s="1" t="s">
        <v>20</v>
      </c>
      <c r="N563" s="1" t="s">
        <v>445</v>
      </c>
    </row>
    <row r="564" spans="1:14" x14ac:dyDescent="0.25">
      <c r="A564" t="s">
        <v>1857</v>
      </c>
      <c r="B564" t="s">
        <v>1609</v>
      </c>
      <c r="C564" t="s">
        <v>9</v>
      </c>
      <c r="D564" s="4">
        <v>3.1777204430061101E-2</v>
      </c>
      <c r="E564" s="3">
        <v>118267.167763784</v>
      </c>
      <c r="F564" s="3">
        <f>E564/7.8</f>
        <v>15162.457405613333</v>
      </c>
      <c r="G564" s="3">
        <f>F564/2</f>
        <v>7581.2287028066667</v>
      </c>
      <c r="H564" t="s">
        <v>71</v>
      </c>
      <c r="I564" t="s">
        <v>1090</v>
      </c>
      <c r="J564" t="s">
        <v>1091</v>
      </c>
      <c r="K564">
        <v>14.03</v>
      </c>
      <c r="L564">
        <v>2.63</v>
      </c>
      <c r="M564" s="1" t="s">
        <v>20</v>
      </c>
      <c r="N564" s="1" t="s">
        <v>445</v>
      </c>
    </row>
    <row r="565" spans="1:14" x14ac:dyDescent="0.25">
      <c r="A565" t="s">
        <v>1857</v>
      </c>
      <c r="B565" t="s">
        <v>1609</v>
      </c>
      <c r="C565" t="s">
        <v>448</v>
      </c>
      <c r="D565" s="4">
        <v>3.9425637428891602E-2</v>
      </c>
      <c r="E565" s="3">
        <v>14101.572282801901</v>
      </c>
      <c r="H565" t="s">
        <v>41</v>
      </c>
      <c r="I565" t="s">
        <v>1092</v>
      </c>
      <c r="J565" t="s">
        <v>1093</v>
      </c>
      <c r="K565">
        <v>7.01</v>
      </c>
      <c r="L565">
        <v>2.63</v>
      </c>
      <c r="M565" s="1" t="s">
        <v>20</v>
      </c>
      <c r="N565" s="1" t="s">
        <v>445</v>
      </c>
    </row>
    <row r="566" spans="1:14" x14ac:dyDescent="0.25">
      <c r="A566" t="s">
        <v>1859</v>
      </c>
      <c r="B566" t="s">
        <v>1609</v>
      </c>
      <c r="C566" t="s">
        <v>9</v>
      </c>
      <c r="D566" s="4">
        <v>2.7227925925920399E-2</v>
      </c>
      <c r="E566" s="3">
        <v>77841.6798273897</v>
      </c>
      <c r="F566" s="3">
        <f>E566/7.8</f>
        <v>9979.702541973038</v>
      </c>
      <c r="G566" s="3">
        <f>F566/2</f>
        <v>4989.851270986519</v>
      </c>
      <c r="H566" t="s">
        <v>115</v>
      </c>
      <c r="I566" t="s">
        <v>1028</v>
      </c>
      <c r="J566" t="s">
        <v>1029</v>
      </c>
      <c r="K566">
        <v>10.84</v>
      </c>
      <c r="L566">
        <v>2.5739999999999998</v>
      </c>
      <c r="M566" s="1" t="s">
        <v>20</v>
      </c>
      <c r="N566" s="1" t="s">
        <v>445</v>
      </c>
    </row>
    <row r="567" spans="1:14" x14ac:dyDescent="0.25">
      <c r="A567" t="s">
        <v>1859</v>
      </c>
      <c r="B567" t="s">
        <v>1609</v>
      </c>
      <c r="C567" t="s">
        <v>448</v>
      </c>
      <c r="D567" s="4">
        <v>4.87063886264682E-2</v>
      </c>
      <c r="E567" s="3">
        <v>8757.5852537627707</v>
      </c>
      <c r="H567" t="s">
        <v>50</v>
      </c>
      <c r="I567" t="s">
        <v>1030</v>
      </c>
      <c r="J567" t="s">
        <v>1031</v>
      </c>
      <c r="K567">
        <v>8.2899999999999991</v>
      </c>
      <c r="L567">
        <v>2.5739999999999998</v>
      </c>
      <c r="M567" s="1" t="s">
        <v>20</v>
      </c>
      <c r="N567" s="1" t="s">
        <v>445</v>
      </c>
    </row>
    <row r="568" spans="1:14" x14ac:dyDescent="0.25">
      <c r="A568" t="s">
        <v>1871</v>
      </c>
      <c r="B568" t="s">
        <v>1609</v>
      </c>
      <c r="C568" t="s">
        <v>9</v>
      </c>
      <c r="D568" s="4">
        <v>5.8618472696233499E-2</v>
      </c>
      <c r="E568" s="3">
        <v>5437.6333881605196</v>
      </c>
      <c r="F568" s="3">
        <f>E568/7.8</f>
        <v>697.13248566160507</v>
      </c>
      <c r="G568" s="3">
        <f>F568/2</f>
        <v>348.56624283080254</v>
      </c>
      <c r="H568" t="s">
        <v>91</v>
      </c>
      <c r="I568" t="s">
        <v>243</v>
      </c>
      <c r="J568" t="s">
        <v>778</v>
      </c>
      <c r="K568">
        <v>14.66</v>
      </c>
      <c r="L568">
        <v>2.7389999999999999</v>
      </c>
      <c r="M568" s="1" t="s">
        <v>20</v>
      </c>
      <c r="N568" s="1" t="s">
        <v>445</v>
      </c>
    </row>
    <row r="569" spans="1:14" x14ac:dyDescent="0.25">
      <c r="A569" t="s">
        <v>1871</v>
      </c>
      <c r="B569" t="s">
        <v>1609</v>
      </c>
      <c r="C569" t="s">
        <v>448</v>
      </c>
      <c r="D569" s="4">
        <v>0.170595246215</v>
      </c>
      <c r="E569" s="3">
        <v>601.14234764699404</v>
      </c>
      <c r="H569" t="s">
        <v>91</v>
      </c>
      <c r="I569" t="s">
        <v>779</v>
      </c>
      <c r="J569" t="s">
        <v>780</v>
      </c>
      <c r="K569">
        <v>10.199999999999999</v>
      </c>
      <c r="L569">
        <v>2.7389999999999999</v>
      </c>
      <c r="M569" s="1" t="s">
        <v>20</v>
      </c>
      <c r="N569" s="1" t="s">
        <v>445</v>
      </c>
    </row>
    <row r="570" spans="1:14" x14ac:dyDescent="0.25">
      <c r="A570" t="s">
        <v>1881</v>
      </c>
      <c r="B570" t="s">
        <v>1609</v>
      </c>
      <c r="C570" t="s">
        <v>9</v>
      </c>
      <c r="D570" s="4">
        <v>3.4038975213725599E-2</v>
      </c>
      <c r="E570" s="3">
        <v>125904.440622914</v>
      </c>
      <c r="F570" s="3">
        <f>E570/7.8</f>
        <v>16141.594951655641</v>
      </c>
      <c r="G570" s="3">
        <f>F570/2</f>
        <v>8070.7974758278206</v>
      </c>
      <c r="H570" t="s">
        <v>127</v>
      </c>
      <c r="I570" t="s">
        <v>1075</v>
      </c>
      <c r="J570" t="s">
        <v>1076</v>
      </c>
      <c r="K570">
        <v>12.11</v>
      </c>
      <c r="L570">
        <v>2.7250000000000001</v>
      </c>
      <c r="M570" s="1" t="s">
        <v>20</v>
      </c>
      <c r="N570" s="1" t="s">
        <v>445</v>
      </c>
    </row>
    <row r="571" spans="1:14" x14ac:dyDescent="0.25">
      <c r="A571" t="s">
        <v>1881</v>
      </c>
      <c r="B571" t="s">
        <v>1609</v>
      </c>
      <c r="C571" t="s">
        <v>448</v>
      </c>
      <c r="D571" s="4">
        <v>3.6861144004574603E-2</v>
      </c>
      <c r="E571" s="3">
        <v>16199.7430581727</v>
      </c>
      <c r="H571" t="s">
        <v>435</v>
      </c>
      <c r="I571" t="s">
        <v>1077</v>
      </c>
      <c r="J571" t="s">
        <v>889</v>
      </c>
      <c r="K571">
        <v>8.2899999999999991</v>
      </c>
      <c r="L571">
        <v>2.7250000000000001</v>
      </c>
      <c r="M571" s="1" t="s">
        <v>20</v>
      </c>
      <c r="N571" s="1" t="s">
        <v>445</v>
      </c>
    </row>
    <row r="572" spans="1:14" x14ac:dyDescent="0.25">
      <c r="A572" t="s">
        <v>1882</v>
      </c>
      <c r="B572" t="s">
        <v>1609</v>
      </c>
      <c r="C572" t="s">
        <v>9</v>
      </c>
      <c r="D572" s="4">
        <v>5.8969776508670399E-2</v>
      </c>
      <c r="E572" s="3">
        <v>214038.19373499701</v>
      </c>
      <c r="F572" s="3">
        <f>E572/7.8</f>
        <v>27440.794068589363</v>
      </c>
      <c r="G572" s="3">
        <f>F572/2</f>
        <v>13720.397034294681</v>
      </c>
      <c r="H572" t="s">
        <v>115</v>
      </c>
      <c r="I572" t="s">
        <v>42</v>
      </c>
      <c r="J572" t="s">
        <v>1032</v>
      </c>
      <c r="K572">
        <v>15.3</v>
      </c>
      <c r="L572">
        <v>2.5190000000000001</v>
      </c>
      <c r="M572" s="1" t="s">
        <v>20</v>
      </c>
      <c r="N572" s="1" t="s">
        <v>445</v>
      </c>
    </row>
    <row r="573" spans="1:14" x14ac:dyDescent="0.25">
      <c r="A573" t="s">
        <v>1882</v>
      </c>
      <c r="B573" t="s">
        <v>1609</v>
      </c>
      <c r="C573" t="s">
        <v>448</v>
      </c>
      <c r="D573" s="4">
        <v>3.2404697060089402E-2</v>
      </c>
      <c r="E573" s="3">
        <v>24819.276720550599</v>
      </c>
      <c r="H573" t="s">
        <v>115</v>
      </c>
      <c r="I573" t="s">
        <v>955</v>
      </c>
      <c r="J573" t="s">
        <v>1033</v>
      </c>
      <c r="K573">
        <v>7.01</v>
      </c>
      <c r="L573">
        <v>2.5190000000000001</v>
      </c>
      <c r="M573" s="1" t="s">
        <v>20</v>
      </c>
      <c r="N573" s="1" t="s">
        <v>445</v>
      </c>
    </row>
    <row r="574" spans="1:14" x14ac:dyDescent="0.25">
      <c r="A574" t="s">
        <v>1883</v>
      </c>
      <c r="B574" t="s">
        <v>1609</v>
      </c>
      <c r="C574" t="s">
        <v>9</v>
      </c>
      <c r="D574" s="4">
        <v>2.6810474904580099E-2</v>
      </c>
      <c r="E574" s="3">
        <v>64196.231428473096</v>
      </c>
      <c r="F574" s="3">
        <f>E574/7.8</f>
        <v>8230.2860805734745</v>
      </c>
      <c r="G574" s="3">
        <f>F574/2</f>
        <v>4115.1430402867372</v>
      </c>
      <c r="H574" t="s">
        <v>71</v>
      </c>
      <c r="I574" t="s">
        <v>945</v>
      </c>
      <c r="J574" t="s">
        <v>946</v>
      </c>
      <c r="K574">
        <v>10.84</v>
      </c>
      <c r="L574">
        <v>2.4830000000000001</v>
      </c>
      <c r="M574" s="1" t="s">
        <v>20</v>
      </c>
      <c r="N574" s="1" t="s">
        <v>445</v>
      </c>
    </row>
    <row r="575" spans="1:14" x14ac:dyDescent="0.25">
      <c r="A575" t="s">
        <v>1883</v>
      </c>
      <c r="B575" t="s">
        <v>1609</v>
      </c>
      <c r="C575" t="s">
        <v>448</v>
      </c>
      <c r="D575" s="4">
        <v>5.48491642626961E-2</v>
      </c>
      <c r="E575" s="3">
        <v>6935.8730695265203</v>
      </c>
      <c r="H575" t="s">
        <v>634</v>
      </c>
      <c r="I575" t="s">
        <v>947</v>
      </c>
      <c r="J575" t="s">
        <v>948</v>
      </c>
      <c r="K575">
        <v>7.65</v>
      </c>
      <c r="L575">
        <v>2.4830000000000001</v>
      </c>
      <c r="M575" s="1" t="s">
        <v>20</v>
      </c>
      <c r="N575" s="1" t="s">
        <v>445</v>
      </c>
    </row>
    <row r="576" spans="1:14" x14ac:dyDescent="0.25">
      <c r="A576" t="s">
        <v>1884</v>
      </c>
      <c r="B576" t="s">
        <v>1609</v>
      </c>
      <c r="C576" t="s">
        <v>9</v>
      </c>
      <c r="D576" s="4">
        <v>3.2737397589824899E-2</v>
      </c>
      <c r="E576" s="3">
        <v>23822.613599965</v>
      </c>
      <c r="F576" s="3">
        <f>E576/7.8</f>
        <v>3054.1812307647438</v>
      </c>
      <c r="G576" s="3">
        <f>F576/2</f>
        <v>1527.0906153823719</v>
      </c>
      <c r="H576" t="s">
        <v>898</v>
      </c>
      <c r="I576" t="s">
        <v>899</v>
      </c>
      <c r="J576" t="s">
        <v>900</v>
      </c>
      <c r="K576">
        <v>13.39</v>
      </c>
      <c r="L576">
        <v>2.524</v>
      </c>
      <c r="M576" s="1" t="s">
        <v>20</v>
      </c>
      <c r="N576" s="1" t="s">
        <v>445</v>
      </c>
    </row>
    <row r="577" spans="1:14" x14ac:dyDescent="0.25">
      <c r="A577" t="s">
        <v>1884</v>
      </c>
      <c r="B577" t="s">
        <v>1609</v>
      </c>
      <c r="C577" t="s">
        <v>448</v>
      </c>
      <c r="D577" s="4">
        <v>8.5151769947213199E-2</v>
      </c>
      <c r="E577" s="3">
        <v>2672.40278341153</v>
      </c>
      <c r="H577" t="s">
        <v>898</v>
      </c>
      <c r="I577" t="s">
        <v>901</v>
      </c>
      <c r="J577" t="s">
        <v>902</v>
      </c>
      <c r="K577">
        <v>7.01</v>
      </c>
      <c r="L577">
        <v>2.524</v>
      </c>
      <c r="M577" s="1" t="s">
        <v>20</v>
      </c>
      <c r="N577" s="1" t="s">
        <v>445</v>
      </c>
    </row>
    <row r="578" spans="1:14" x14ac:dyDescent="0.25">
      <c r="A578" t="s">
        <v>1885</v>
      </c>
      <c r="B578" t="s">
        <v>1609</v>
      </c>
      <c r="C578" t="s">
        <v>9</v>
      </c>
      <c r="D578" s="4">
        <v>2.79704674756753E-2</v>
      </c>
      <c r="E578" s="3">
        <v>40626.186778748401</v>
      </c>
      <c r="F578" s="3">
        <f>E578/7.8</f>
        <v>5208.4854844549236</v>
      </c>
      <c r="G578" s="3">
        <f>F578/2</f>
        <v>2604.2427422274618</v>
      </c>
      <c r="H578" t="s">
        <v>150</v>
      </c>
      <c r="I578" t="s">
        <v>882</v>
      </c>
      <c r="J578" t="s">
        <v>883</v>
      </c>
      <c r="K578">
        <v>14.66</v>
      </c>
      <c r="L578">
        <v>2.6520000000000001</v>
      </c>
      <c r="M578" s="1" t="s">
        <v>20</v>
      </c>
      <c r="N578" s="1" t="s">
        <v>445</v>
      </c>
    </row>
    <row r="579" spans="1:14" x14ac:dyDescent="0.25">
      <c r="A579" t="s">
        <v>1885</v>
      </c>
      <c r="B579" t="s">
        <v>1609</v>
      </c>
      <c r="C579" t="s">
        <v>448</v>
      </c>
      <c r="D579" s="4">
        <v>6.8228591524148396E-2</v>
      </c>
      <c r="E579" s="3">
        <v>4057.0949694484202</v>
      </c>
      <c r="H579" t="s">
        <v>136</v>
      </c>
      <c r="I579" t="s">
        <v>884</v>
      </c>
      <c r="J579" t="s">
        <v>885</v>
      </c>
      <c r="K579">
        <v>7.01</v>
      </c>
      <c r="L579">
        <v>2.6520000000000001</v>
      </c>
      <c r="M579" s="1" t="s">
        <v>20</v>
      </c>
      <c r="N579" s="1" t="s">
        <v>445</v>
      </c>
    </row>
    <row r="580" spans="1:14" x14ac:dyDescent="0.25">
      <c r="A580" t="s">
        <v>1886</v>
      </c>
      <c r="B580" t="s">
        <v>1609</v>
      </c>
      <c r="C580" t="s">
        <v>9</v>
      </c>
      <c r="D580" s="4">
        <v>2.80733847094825E-2</v>
      </c>
      <c r="E580" s="3">
        <v>402465.79310537101</v>
      </c>
      <c r="F580" s="3">
        <f>E580/7.8</f>
        <v>51598.178603252694</v>
      </c>
      <c r="G580" s="3">
        <f>F580/2</f>
        <v>25799.089301626347</v>
      </c>
      <c r="H580" t="s">
        <v>53</v>
      </c>
      <c r="I580" t="s">
        <v>809</v>
      </c>
      <c r="J580" t="s">
        <v>810</v>
      </c>
      <c r="K580">
        <v>13.39</v>
      </c>
      <c r="L580">
        <v>2.6339999999999999</v>
      </c>
      <c r="M580" s="1">
        <v>10</v>
      </c>
      <c r="N580" s="1" t="s">
        <v>445</v>
      </c>
    </row>
    <row r="581" spans="1:14" x14ac:dyDescent="0.25">
      <c r="A581" t="s">
        <v>1886</v>
      </c>
      <c r="B581" t="s">
        <v>1609</v>
      </c>
      <c r="C581" t="s">
        <v>448</v>
      </c>
      <c r="D581" s="4">
        <v>6.5515097847190604E-2</v>
      </c>
      <c r="E581" s="3">
        <v>44567.607043076699</v>
      </c>
      <c r="H581" t="s">
        <v>546</v>
      </c>
      <c r="I581" t="s">
        <v>811</v>
      </c>
      <c r="J581" t="s">
        <v>812</v>
      </c>
      <c r="K581">
        <v>7.65</v>
      </c>
      <c r="L581">
        <v>2.6339999999999999</v>
      </c>
      <c r="M581" s="1">
        <v>10</v>
      </c>
      <c r="N581" s="1" t="s">
        <v>445</v>
      </c>
    </row>
    <row r="582" spans="1:14" x14ac:dyDescent="0.25">
      <c r="A582" t="s">
        <v>1887</v>
      </c>
      <c r="B582" t="s">
        <v>1609</v>
      </c>
      <c r="C582" t="s">
        <v>9</v>
      </c>
      <c r="D582" s="4">
        <v>3.2250721524137098E-2</v>
      </c>
      <c r="E582" s="3">
        <v>123369.991252236</v>
      </c>
      <c r="F582" s="3">
        <f>E582/7.8</f>
        <v>15816.665545158461</v>
      </c>
      <c r="G582" s="3">
        <f>F582/2</f>
        <v>7908.3327725792306</v>
      </c>
      <c r="H582" t="s">
        <v>284</v>
      </c>
      <c r="I582" t="s">
        <v>987</v>
      </c>
      <c r="J582" t="s">
        <v>1059</v>
      </c>
      <c r="K582">
        <v>12.11</v>
      </c>
      <c r="L582">
        <v>2.5830000000000002</v>
      </c>
      <c r="M582" s="1" t="s">
        <v>20</v>
      </c>
      <c r="N582" s="1" t="s">
        <v>445</v>
      </c>
    </row>
    <row r="583" spans="1:14" x14ac:dyDescent="0.25">
      <c r="A583" t="s">
        <v>1887</v>
      </c>
      <c r="B583" t="s">
        <v>1609</v>
      </c>
      <c r="C583" t="s">
        <v>448</v>
      </c>
      <c r="D583" s="4">
        <v>3.6126055264116698E-2</v>
      </c>
      <c r="E583" s="3">
        <v>17969.421548199101</v>
      </c>
      <c r="H583" t="s">
        <v>663</v>
      </c>
      <c r="I583" t="s">
        <v>1060</v>
      </c>
      <c r="J583" t="s">
        <v>1061</v>
      </c>
      <c r="K583">
        <v>7.01</v>
      </c>
      <c r="L583">
        <v>2.5830000000000002</v>
      </c>
      <c r="M583" s="1" t="s">
        <v>20</v>
      </c>
      <c r="N583" s="1" t="s">
        <v>445</v>
      </c>
    </row>
    <row r="584" spans="1:14" x14ac:dyDescent="0.25">
      <c r="A584" t="s">
        <v>1890</v>
      </c>
      <c r="B584" t="s">
        <v>1609</v>
      </c>
      <c r="C584" t="s">
        <v>9</v>
      </c>
      <c r="D584" s="4">
        <v>4.2041856666162301E-2</v>
      </c>
      <c r="E584" s="3">
        <v>14247.924714061999</v>
      </c>
      <c r="F584" s="3">
        <f>E584/7.8</f>
        <v>1826.6570146233332</v>
      </c>
      <c r="G584" s="3">
        <f>F584/2</f>
        <v>913.32850731166661</v>
      </c>
      <c r="H584" t="s">
        <v>991</v>
      </c>
      <c r="I584" t="s">
        <v>992</v>
      </c>
      <c r="J584" t="s">
        <v>993</v>
      </c>
      <c r="K584">
        <v>12.75</v>
      </c>
      <c r="L584">
        <v>2.6190000000000002</v>
      </c>
      <c r="M584" s="1" t="s">
        <v>20</v>
      </c>
      <c r="N584" s="1" t="s">
        <v>445</v>
      </c>
    </row>
    <row r="585" spans="1:14" x14ac:dyDescent="0.25">
      <c r="A585" t="s">
        <v>1890</v>
      </c>
      <c r="B585" t="s">
        <v>1609</v>
      </c>
      <c r="C585" t="s">
        <v>448</v>
      </c>
      <c r="D585" s="4">
        <v>0.11569970343609</v>
      </c>
      <c r="E585" s="3">
        <v>1380.26358404542</v>
      </c>
      <c r="H585" t="s">
        <v>45</v>
      </c>
      <c r="I585" t="s">
        <v>994</v>
      </c>
      <c r="J585" t="s">
        <v>995</v>
      </c>
      <c r="K585">
        <v>8.2899999999999991</v>
      </c>
      <c r="L585">
        <v>2.6190000000000002</v>
      </c>
      <c r="M585" s="1" t="s">
        <v>20</v>
      </c>
      <c r="N585" s="1" t="s">
        <v>445</v>
      </c>
    </row>
    <row r="586" spans="1:14" x14ac:dyDescent="0.25">
      <c r="A586" t="s">
        <v>1892</v>
      </c>
      <c r="B586" t="s">
        <v>1609</v>
      </c>
      <c r="C586" t="s">
        <v>9</v>
      </c>
      <c r="D586" s="4">
        <v>3.6167680552515499E-2</v>
      </c>
      <c r="E586" s="3">
        <v>147315.68110210999</v>
      </c>
      <c r="F586" s="3">
        <f>E586/7.8</f>
        <v>18886.625782321793</v>
      </c>
      <c r="G586" s="3">
        <f>F586/2</f>
        <v>9443.3128911608965</v>
      </c>
      <c r="H586" t="s">
        <v>552</v>
      </c>
      <c r="I586" t="s">
        <v>961</v>
      </c>
      <c r="J586" t="s">
        <v>962</v>
      </c>
      <c r="K586">
        <v>14.66</v>
      </c>
      <c r="L586">
        <v>2.5129999999999999</v>
      </c>
      <c r="M586" s="1" t="s">
        <v>20</v>
      </c>
      <c r="N586" s="1" t="s">
        <v>445</v>
      </c>
    </row>
    <row r="587" spans="1:14" x14ac:dyDescent="0.25">
      <c r="A587" t="s">
        <v>1892</v>
      </c>
      <c r="B587" t="s">
        <v>1609</v>
      </c>
      <c r="C587" t="s">
        <v>448</v>
      </c>
      <c r="D587" s="4">
        <v>3.3937777736539797E-2</v>
      </c>
      <c r="E587" s="3">
        <v>21697.554428358999</v>
      </c>
      <c r="H587" t="s">
        <v>552</v>
      </c>
      <c r="I587" t="s">
        <v>963</v>
      </c>
      <c r="J587" t="s">
        <v>964</v>
      </c>
      <c r="K587">
        <v>7.01</v>
      </c>
      <c r="L587">
        <v>2.5129999999999999</v>
      </c>
      <c r="M587" s="1" t="s">
        <v>20</v>
      </c>
      <c r="N587" s="1" t="s">
        <v>445</v>
      </c>
    </row>
    <row r="588" spans="1:14" x14ac:dyDescent="0.25">
      <c r="A588" t="s">
        <v>1894</v>
      </c>
      <c r="B588" t="s">
        <v>1609</v>
      </c>
      <c r="C588" t="s">
        <v>9</v>
      </c>
      <c r="D588" s="4">
        <v>3.5183702070547898E-2</v>
      </c>
      <c r="E588" s="3">
        <v>18817.172821588301</v>
      </c>
      <c r="F588" s="3">
        <f>E588/7.8</f>
        <v>2412.4580540497823</v>
      </c>
      <c r="G588" s="3">
        <f>F588/2</f>
        <v>1206.2290270248911</v>
      </c>
      <c r="H588" t="s">
        <v>914</v>
      </c>
      <c r="I588" t="s">
        <v>915</v>
      </c>
      <c r="J588" t="s">
        <v>916</v>
      </c>
      <c r="K588">
        <v>12.11</v>
      </c>
      <c r="L588">
        <v>2.65</v>
      </c>
      <c r="M588" s="1" t="s">
        <v>20</v>
      </c>
      <c r="N588" s="1" t="s">
        <v>445</v>
      </c>
    </row>
    <row r="589" spans="1:14" x14ac:dyDescent="0.25">
      <c r="A589" t="s">
        <v>1894</v>
      </c>
      <c r="B589" t="s">
        <v>1609</v>
      </c>
      <c r="C589" t="s">
        <v>448</v>
      </c>
      <c r="D589" s="4">
        <v>9.3770178047367495E-2</v>
      </c>
      <c r="E589" s="3">
        <v>2097.2822680536001</v>
      </c>
      <c r="H589" t="s">
        <v>421</v>
      </c>
      <c r="I589" t="s">
        <v>917</v>
      </c>
      <c r="J589" t="s">
        <v>918</v>
      </c>
      <c r="K589">
        <v>8.2899999999999991</v>
      </c>
      <c r="L589">
        <v>2.65</v>
      </c>
      <c r="M589" s="1" t="s">
        <v>20</v>
      </c>
      <c r="N589" s="1" t="s">
        <v>445</v>
      </c>
    </row>
    <row r="590" spans="1:14" x14ac:dyDescent="0.25">
      <c r="A590" t="s">
        <v>1895</v>
      </c>
      <c r="B590" t="s">
        <v>1609</v>
      </c>
      <c r="C590" t="s">
        <v>9</v>
      </c>
      <c r="D590" s="4">
        <v>4.4255179524637402E-2</v>
      </c>
      <c r="E590" s="3">
        <v>11062.766756986701</v>
      </c>
      <c r="F590" s="3">
        <f>E590/7.8</f>
        <v>1418.3034303829104</v>
      </c>
      <c r="G590" s="3">
        <f>F590/2</f>
        <v>709.1517151914552</v>
      </c>
      <c r="H590" t="s">
        <v>50</v>
      </c>
      <c r="I590" t="s">
        <v>841</v>
      </c>
      <c r="J590" t="s">
        <v>842</v>
      </c>
      <c r="K590">
        <v>12.11</v>
      </c>
      <c r="L590">
        <v>2.5390000000000001</v>
      </c>
      <c r="M590" s="1" t="s">
        <v>20</v>
      </c>
      <c r="N590" s="1" t="s">
        <v>445</v>
      </c>
    </row>
    <row r="591" spans="1:14" x14ac:dyDescent="0.25">
      <c r="A591" t="s">
        <v>1895</v>
      </c>
      <c r="B591" t="s">
        <v>1609</v>
      </c>
      <c r="C591" t="s">
        <v>448</v>
      </c>
      <c r="D591" s="4">
        <v>0.11755717399974699</v>
      </c>
      <c r="E591" s="3">
        <v>1373.7595179047601</v>
      </c>
      <c r="H591" t="s">
        <v>297</v>
      </c>
      <c r="I591" t="s">
        <v>84</v>
      </c>
      <c r="J591" t="s">
        <v>843</v>
      </c>
      <c r="K591">
        <v>7.01</v>
      </c>
      <c r="L591">
        <v>2.5390000000000001</v>
      </c>
      <c r="M591" s="1" t="s">
        <v>20</v>
      </c>
      <c r="N591" s="1" t="s">
        <v>445</v>
      </c>
    </row>
    <row r="592" spans="1:14" x14ac:dyDescent="0.25">
      <c r="A592" t="s">
        <v>1896</v>
      </c>
      <c r="B592" t="s">
        <v>1609</v>
      </c>
      <c r="C592" t="s">
        <v>9</v>
      </c>
      <c r="D592" s="4">
        <v>3.0666477330420099E-2</v>
      </c>
      <c r="E592" s="3">
        <v>108302.317004984</v>
      </c>
      <c r="F592" s="3">
        <f>E592/7.8</f>
        <v>13884.91243653641</v>
      </c>
      <c r="G592" s="3">
        <f>F592/2</f>
        <v>6942.4562182682048</v>
      </c>
      <c r="H592" t="s">
        <v>407</v>
      </c>
      <c r="I592" t="s">
        <v>823</v>
      </c>
      <c r="J592" t="s">
        <v>824</v>
      </c>
      <c r="K592">
        <v>15.3</v>
      </c>
      <c r="L592">
        <v>2.6880000000000002</v>
      </c>
      <c r="M592" s="1" t="s">
        <v>20</v>
      </c>
      <c r="N592" s="1" t="s">
        <v>445</v>
      </c>
    </row>
    <row r="593" spans="1:14" x14ac:dyDescent="0.25">
      <c r="A593" t="s">
        <v>1896</v>
      </c>
      <c r="B593" t="s">
        <v>1609</v>
      </c>
      <c r="C593" t="s">
        <v>448</v>
      </c>
      <c r="D593" s="4">
        <v>4.7967337370008301E-2</v>
      </c>
      <c r="E593" s="3">
        <v>8691.1571301105396</v>
      </c>
      <c r="H593" t="s">
        <v>825</v>
      </c>
      <c r="I593" t="s">
        <v>826</v>
      </c>
      <c r="J593" t="s">
        <v>827</v>
      </c>
      <c r="K593">
        <v>8.2899999999999991</v>
      </c>
      <c r="L593">
        <v>2.6880000000000002</v>
      </c>
      <c r="M593" s="1" t="s">
        <v>20</v>
      </c>
      <c r="N593" s="1" t="s">
        <v>445</v>
      </c>
    </row>
    <row r="594" spans="1:14" x14ac:dyDescent="0.25">
      <c r="A594" t="s">
        <v>1900</v>
      </c>
      <c r="B594" t="s">
        <v>1609</v>
      </c>
      <c r="C594" t="s">
        <v>9</v>
      </c>
      <c r="D594" s="4">
        <v>0.162210367923729</v>
      </c>
      <c r="E594" s="3">
        <v>713.69857255846603</v>
      </c>
      <c r="F594" s="3">
        <f>E594/7.8</f>
        <v>91.499816994675129</v>
      </c>
      <c r="G594" s="3">
        <f>F594/2</f>
        <v>45.749908497337564</v>
      </c>
      <c r="H594" t="s">
        <v>207</v>
      </c>
      <c r="I594" t="s">
        <v>1062</v>
      </c>
      <c r="J594" t="s">
        <v>275</v>
      </c>
      <c r="K594">
        <v>15.94</v>
      </c>
      <c r="L594">
        <v>2.548</v>
      </c>
      <c r="M594" s="1" t="s">
        <v>20</v>
      </c>
      <c r="N594" s="1" t="s">
        <v>445</v>
      </c>
    </row>
    <row r="595" spans="1:14" x14ac:dyDescent="0.25">
      <c r="A595" t="s">
        <v>1900</v>
      </c>
      <c r="B595" t="s">
        <v>1609</v>
      </c>
      <c r="C595" t="s">
        <v>448</v>
      </c>
      <c r="D595" s="4">
        <v>0.43826154182337801</v>
      </c>
      <c r="E595" s="3">
        <v>97.018911902582104</v>
      </c>
      <c r="H595" t="s">
        <v>207</v>
      </c>
      <c r="I595" t="s">
        <v>1063</v>
      </c>
      <c r="J595" t="s">
        <v>45</v>
      </c>
      <c r="K595">
        <v>9.7200000000000006</v>
      </c>
      <c r="L595">
        <v>2.548</v>
      </c>
      <c r="M595" s="1" t="s">
        <v>20</v>
      </c>
      <c r="N595" s="1" t="s">
        <v>445</v>
      </c>
    </row>
    <row r="596" spans="1:14" x14ac:dyDescent="0.25">
      <c r="A596" t="s">
        <v>1902</v>
      </c>
      <c r="B596" t="s">
        <v>1609</v>
      </c>
      <c r="C596" t="s">
        <v>9</v>
      </c>
      <c r="D596" s="4">
        <v>3.54427821988628E-2</v>
      </c>
      <c r="E596" s="3">
        <v>18294.692896113502</v>
      </c>
      <c r="F596" s="3">
        <f>E596/7.8</f>
        <v>2345.47344821968</v>
      </c>
      <c r="G596" s="3">
        <f>F596/2</f>
        <v>1172.73672410984</v>
      </c>
      <c r="H596" t="s">
        <v>784</v>
      </c>
      <c r="I596" t="s">
        <v>236</v>
      </c>
      <c r="J596" t="s">
        <v>996</v>
      </c>
      <c r="K596">
        <v>13.39</v>
      </c>
      <c r="L596">
        <v>2.6840000000000002</v>
      </c>
      <c r="M596" s="1" t="s">
        <v>20</v>
      </c>
      <c r="N596" s="1" t="s">
        <v>445</v>
      </c>
    </row>
    <row r="597" spans="1:14" x14ac:dyDescent="0.25">
      <c r="A597" t="s">
        <v>1902</v>
      </c>
      <c r="B597" t="s">
        <v>1609</v>
      </c>
      <c r="C597" t="s">
        <v>448</v>
      </c>
      <c r="D597" s="4">
        <v>8.6298510652080399E-2</v>
      </c>
      <c r="E597" s="3">
        <v>2458.6178228430499</v>
      </c>
      <c r="H597" t="s">
        <v>305</v>
      </c>
      <c r="I597" t="s">
        <v>997</v>
      </c>
      <c r="J597" t="s">
        <v>998</v>
      </c>
      <c r="K597">
        <v>8.2899999999999991</v>
      </c>
      <c r="L597">
        <v>2.6840000000000002</v>
      </c>
      <c r="M597" s="1" t="s">
        <v>20</v>
      </c>
      <c r="N597" s="1" t="s">
        <v>445</v>
      </c>
    </row>
    <row r="598" spans="1:14" x14ac:dyDescent="0.25">
      <c r="A598" t="s">
        <v>1903</v>
      </c>
      <c r="B598" t="s">
        <v>1609</v>
      </c>
      <c r="C598" t="s">
        <v>9</v>
      </c>
      <c r="D598" s="4">
        <v>2.9720524855321201E-2</v>
      </c>
      <c r="E598" s="3">
        <v>32006.091301668799</v>
      </c>
      <c r="F598" s="3">
        <f>E598/7.8</f>
        <v>4103.3450386754876</v>
      </c>
      <c r="G598" s="3">
        <f>F598/2</f>
        <v>2051.6725193377438</v>
      </c>
      <c r="H598" t="s">
        <v>82</v>
      </c>
      <c r="I598" t="s">
        <v>965</v>
      </c>
      <c r="J598" t="s">
        <v>966</v>
      </c>
      <c r="K598">
        <v>12.11</v>
      </c>
      <c r="L598">
        <v>2.5960000000000001</v>
      </c>
      <c r="M598" s="1" t="s">
        <v>20</v>
      </c>
      <c r="N598" s="1" t="s">
        <v>445</v>
      </c>
    </row>
    <row r="599" spans="1:14" x14ac:dyDescent="0.25">
      <c r="A599" t="s">
        <v>1903</v>
      </c>
      <c r="B599" t="s">
        <v>1609</v>
      </c>
      <c r="C599" t="s">
        <v>448</v>
      </c>
      <c r="D599" s="4">
        <v>7.1980262736396294E-2</v>
      </c>
      <c r="E599" s="3">
        <v>3706.3788974168201</v>
      </c>
      <c r="H599" t="s">
        <v>45</v>
      </c>
      <c r="I599" t="s">
        <v>967</v>
      </c>
      <c r="J599" t="s">
        <v>968</v>
      </c>
      <c r="K599">
        <v>7.01</v>
      </c>
      <c r="L599">
        <v>2.5960000000000001</v>
      </c>
      <c r="M599" s="1" t="s">
        <v>20</v>
      </c>
      <c r="N599" s="1" t="s">
        <v>445</v>
      </c>
    </row>
    <row r="600" spans="1:14" x14ac:dyDescent="0.25">
      <c r="A600" t="s">
        <v>1904</v>
      </c>
      <c r="B600" t="s">
        <v>1609</v>
      </c>
      <c r="C600" t="s">
        <v>9</v>
      </c>
      <c r="D600" s="4">
        <v>2.9743818020894802E-2</v>
      </c>
      <c r="E600" s="3">
        <v>32374.579401458399</v>
      </c>
      <c r="F600" s="3">
        <f>E600/7.8</f>
        <v>4150.5871027510766</v>
      </c>
      <c r="G600" s="3">
        <f>F600/2</f>
        <v>2075.2935513755383</v>
      </c>
      <c r="H600" t="s">
        <v>162</v>
      </c>
      <c r="I600" t="s">
        <v>919</v>
      </c>
      <c r="J600" t="s">
        <v>920</v>
      </c>
      <c r="K600">
        <v>13.39</v>
      </c>
      <c r="L600">
        <v>2.5470000000000002</v>
      </c>
      <c r="M600" s="1" t="s">
        <v>20</v>
      </c>
      <c r="N600" s="1" t="s">
        <v>445</v>
      </c>
    </row>
    <row r="601" spans="1:14" x14ac:dyDescent="0.25">
      <c r="A601" t="s">
        <v>1904</v>
      </c>
      <c r="B601" t="s">
        <v>1609</v>
      </c>
      <c r="C601" t="s">
        <v>448</v>
      </c>
      <c r="D601" s="4">
        <v>6.8228483151524896E-2</v>
      </c>
      <c r="E601" s="3">
        <v>4217.348852348</v>
      </c>
      <c r="H601" t="s">
        <v>232</v>
      </c>
      <c r="I601" t="s">
        <v>884</v>
      </c>
      <c r="J601" t="s">
        <v>921</v>
      </c>
      <c r="K601">
        <v>8.93</v>
      </c>
      <c r="L601">
        <v>2.5470000000000002</v>
      </c>
      <c r="M601" s="1" t="s">
        <v>20</v>
      </c>
      <c r="N601" s="1" t="s">
        <v>445</v>
      </c>
    </row>
    <row r="602" spans="1:14" x14ac:dyDescent="0.25">
      <c r="A602" t="s">
        <v>1905</v>
      </c>
      <c r="B602" t="s">
        <v>1609</v>
      </c>
      <c r="C602" t="s">
        <v>9</v>
      </c>
      <c r="D602" s="4">
        <v>3.2036376917099103E-2</v>
      </c>
      <c r="E602" s="3">
        <v>24678.244927462099</v>
      </c>
      <c r="F602" s="3">
        <f>E602/7.8</f>
        <v>3163.8775548028334</v>
      </c>
      <c r="G602" s="3">
        <f>F602/2</f>
        <v>1581.9387774014167</v>
      </c>
      <c r="H602" t="s">
        <v>76</v>
      </c>
      <c r="I602" t="s">
        <v>844</v>
      </c>
      <c r="J602" t="s">
        <v>845</v>
      </c>
      <c r="K602">
        <v>13.39</v>
      </c>
      <c r="L602">
        <v>2.613</v>
      </c>
      <c r="M602" s="1" t="s">
        <v>20</v>
      </c>
      <c r="N602" s="1" t="s">
        <v>445</v>
      </c>
    </row>
    <row r="603" spans="1:14" x14ac:dyDescent="0.25">
      <c r="A603" t="s">
        <v>1905</v>
      </c>
      <c r="B603" t="s">
        <v>1609</v>
      </c>
      <c r="C603" t="s">
        <v>448</v>
      </c>
      <c r="D603" s="4">
        <v>9.7522831560853104E-2</v>
      </c>
      <c r="E603" s="3">
        <v>1958.3625908372401</v>
      </c>
      <c r="H603" t="s">
        <v>76</v>
      </c>
      <c r="I603" t="s">
        <v>846</v>
      </c>
      <c r="J603" t="s">
        <v>847</v>
      </c>
      <c r="K603">
        <v>7.65</v>
      </c>
      <c r="L603">
        <v>2.613</v>
      </c>
      <c r="M603" s="1" t="s">
        <v>20</v>
      </c>
      <c r="N603" s="1" t="s">
        <v>445</v>
      </c>
    </row>
    <row r="604" spans="1:14" x14ac:dyDescent="0.25">
      <c r="A604" t="s">
        <v>1906</v>
      </c>
      <c r="B604" t="s">
        <v>1609</v>
      </c>
      <c r="C604" t="s">
        <v>9</v>
      </c>
      <c r="D604" s="4">
        <v>2.8598647400432501E-2</v>
      </c>
      <c r="E604" s="3">
        <v>91192.187012248905</v>
      </c>
      <c r="F604" s="3">
        <f>E604/7.8</f>
        <v>11691.306027211398</v>
      </c>
      <c r="G604" s="3">
        <f>F604/2</f>
        <v>5845.653013605699</v>
      </c>
      <c r="H604" t="s">
        <v>114</v>
      </c>
      <c r="I604" t="s">
        <v>828</v>
      </c>
      <c r="J604" t="s">
        <v>829</v>
      </c>
      <c r="K604">
        <v>10.84</v>
      </c>
      <c r="L604">
        <v>2.7269999999999999</v>
      </c>
      <c r="M604" s="1" t="s">
        <v>20</v>
      </c>
      <c r="N604" s="1" t="s">
        <v>445</v>
      </c>
    </row>
    <row r="605" spans="1:14" x14ac:dyDescent="0.25">
      <c r="A605" t="s">
        <v>1906</v>
      </c>
      <c r="B605" t="s">
        <v>1609</v>
      </c>
      <c r="C605" t="s">
        <v>448</v>
      </c>
      <c r="D605" s="4">
        <v>4.6899723273635403E-2</v>
      </c>
      <c r="E605" s="3">
        <v>8990.0113442062502</v>
      </c>
      <c r="H605" t="s">
        <v>175</v>
      </c>
      <c r="I605" t="s">
        <v>830</v>
      </c>
      <c r="J605" t="s">
        <v>831</v>
      </c>
      <c r="K605">
        <v>7.01</v>
      </c>
      <c r="L605">
        <v>2.7269999999999999</v>
      </c>
      <c r="M605" s="1" t="s">
        <v>20</v>
      </c>
      <c r="N605" s="1" t="s">
        <v>445</v>
      </c>
    </row>
    <row r="606" spans="1:14" x14ac:dyDescent="0.25">
      <c r="A606" t="s">
        <v>1937</v>
      </c>
      <c r="B606" t="s">
        <v>1609</v>
      </c>
      <c r="C606" t="s">
        <v>9</v>
      </c>
      <c r="D606" s="4">
        <v>3.2716905961082898E-2</v>
      </c>
      <c r="E606" s="3">
        <v>122299.384536636</v>
      </c>
      <c r="F606" s="3">
        <f>E606/7.8</f>
        <v>15679.408273927693</v>
      </c>
      <c r="G606" s="3">
        <f>F606/2</f>
        <v>7839.7041369638464</v>
      </c>
      <c r="H606" t="s">
        <v>76</v>
      </c>
      <c r="I606" t="s">
        <v>813</v>
      </c>
      <c r="J606" t="s">
        <v>814</v>
      </c>
      <c r="K606">
        <v>12.11</v>
      </c>
      <c r="L606">
        <v>2.6619999999999999</v>
      </c>
      <c r="M606" s="1" t="s">
        <v>20</v>
      </c>
      <c r="N606" s="1" t="s">
        <v>445</v>
      </c>
    </row>
    <row r="607" spans="1:14" x14ac:dyDescent="0.25">
      <c r="A607" t="s">
        <v>1937</v>
      </c>
      <c r="B607" t="s">
        <v>1609</v>
      </c>
      <c r="C607" t="s">
        <v>448</v>
      </c>
      <c r="D607" s="4">
        <v>3.8410358837325402E-2</v>
      </c>
      <c r="E607" s="3">
        <v>14891.034262474101</v>
      </c>
      <c r="H607" t="s">
        <v>815</v>
      </c>
      <c r="I607" t="s">
        <v>816</v>
      </c>
      <c r="J607" t="s">
        <v>817</v>
      </c>
      <c r="K607">
        <v>7.01</v>
      </c>
      <c r="L607">
        <v>2.6619999999999999</v>
      </c>
      <c r="M607" s="1" t="s">
        <v>20</v>
      </c>
      <c r="N607" s="1" t="s">
        <v>445</v>
      </c>
    </row>
    <row r="608" spans="1:14" x14ac:dyDescent="0.25">
      <c r="A608" t="s">
        <v>1938</v>
      </c>
      <c r="B608" t="s">
        <v>1609</v>
      </c>
      <c r="C608" t="s">
        <v>9</v>
      </c>
      <c r="D608" s="4">
        <v>3.2403692642891897E-2</v>
      </c>
      <c r="E608" s="3">
        <v>121821.724442438</v>
      </c>
      <c r="F608" s="3">
        <f>E608/7.8</f>
        <v>15618.169800312566</v>
      </c>
      <c r="G608" s="3">
        <f>F608/2</f>
        <v>7809.0849001562829</v>
      </c>
      <c r="H608" t="s">
        <v>76</v>
      </c>
      <c r="I608" t="s">
        <v>512</v>
      </c>
      <c r="J608" t="s">
        <v>832</v>
      </c>
      <c r="K608">
        <v>14.03</v>
      </c>
      <c r="L608">
        <v>2.6339999999999999</v>
      </c>
      <c r="M608" s="1" t="s">
        <v>20</v>
      </c>
      <c r="N608" s="1" t="s">
        <v>445</v>
      </c>
    </row>
    <row r="609" spans="1:14" x14ac:dyDescent="0.25">
      <c r="A609" t="s">
        <v>1938</v>
      </c>
      <c r="B609" t="s">
        <v>1609</v>
      </c>
      <c r="C609" t="s">
        <v>448</v>
      </c>
      <c r="D609" s="4">
        <v>3.8446718737332103E-2</v>
      </c>
      <c r="E609" s="3">
        <v>15045.8637631651</v>
      </c>
      <c r="H609" t="s">
        <v>435</v>
      </c>
      <c r="I609" t="s">
        <v>451</v>
      </c>
      <c r="J609" t="s">
        <v>833</v>
      </c>
      <c r="K609">
        <v>7.01</v>
      </c>
      <c r="L609">
        <v>2.6339999999999999</v>
      </c>
      <c r="M609" s="1" t="s">
        <v>20</v>
      </c>
      <c r="N609" s="1" t="s">
        <v>445</v>
      </c>
    </row>
    <row r="610" spans="1:14" x14ac:dyDescent="0.25">
      <c r="A610" t="s">
        <v>1939</v>
      </c>
      <c r="B610" t="s">
        <v>1609</v>
      </c>
      <c r="C610" t="s">
        <v>9</v>
      </c>
      <c r="D610" s="4">
        <v>3.17678133741758E-2</v>
      </c>
      <c r="E610" s="3">
        <v>12457989.889816999</v>
      </c>
      <c r="F610" s="3">
        <f>E610/7.8</f>
        <v>1597178.1910021794</v>
      </c>
      <c r="G610" s="3">
        <f>F610/2</f>
        <v>798589.0955010897</v>
      </c>
      <c r="H610" t="s">
        <v>227</v>
      </c>
      <c r="I610" t="s">
        <v>903</v>
      </c>
      <c r="J610" t="s">
        <v>904</v>
      </c>
      <c r="K610">
        <v>12.75</v>
      </c>
      <c r="L610">
        <v>2.5009999999999999</v>
      </c>
      <c r="M610" s="1">
        <v>100</v>
      </c>
      <c r="N610" s="1" t="s">
        <v>445</v>
      </c>
    </row>
    <row r="611" spans="1:14" x14ac:dyDescent="0.25">
      <c r="A611" t="s">
        <v>1939</v>
      </c>
      <c r="B611" t="s">
        <v>1609</v>
      </c>
      <c r="C611" t="s">
        <v>448</v>
      </c>
      <c r="D611" s="4">
        <v>3.9655486959374299E-2</v>
      </c>
      <c r="E611" s="3">
        <v>1452334.62661346</v>
      </c>
      <c r="H611" t="s">
        <v>280</v>
      </c>
      <c r="I611" t="s">
        <v>905</v>
      </c>
      <c r="J611" t="s">
        <v>906</v>
      </c>
      <c r="K611">
        <v>8.2899999999999991</v>
      </c>
      <c r="L611">
        <v>2.5009999999999999</v>
      </c>
      <c r="M611" s="1">
        <v>100</v>
      </c>
      <c r="N611" s="1" t="s">
        <v>445</v>
      </c>
    </row>
    <row r="612" spans="1:14" x14ac:dyDescent="0.25">
      <c r="A612" t="s">
        <v>1940</v>
      </c>
      <c r="B612" t="s">
        <v>1609</v>
      </c>
      <c r="C612" t="s">
        <v>9</v>
      </c>
      <c r="D612" s="4">
        <v>3.2464837333355499E-2</v>
      </c>
      <c r="E612" s="3">
        <v>1296015.93310614</v>
      </c>
      <c r="F612" s="3">
        <f>E612/7.8</f>
        <v>166155.88885976153</v>
      </c>
      <c r="G612" s="3">
        <f>F612/2</f>
        <v>83077.944429880765</v>
      </c>
      <c r="H612" t="s">
        <v>297</v>
      </c>
      <c r="I612" t="s">
        <v>949</v>
      </c>
      <c r="J612" t="s">
        <v>950</v>
      </c>
      <c r="K612">
        <v>12.11</v>
      </c>
      <c r="L612">
        <v>2.4860000000000002</v>
      </c>
      <c r="M612" s="1">
        <v>10</v>
      </c>
      <c r="N612" s="1" t="s">
        <v>445</v>
      </c>
    </row>
    <row r="613" spans="1:14" x14ac:dyDescent="0.25">
      <c r="A613" t="s">
        <v>1940</v>
      </c>
      <c r="B613" t="s">
        <v>1609</v>
      </c>
      <c r="C613" t="s">
        <v>448</v>
      </c>
      <c r="D613" s="4">
        <v>3.7720468598820098E-2</v>
      </c>
      <c r="E613" s="3">
        <v>167690.08674220901</v>
      </c>
      <c r="H613" t="s">
        <v>156</v>
      </c>
      <c r="I613" t="s">
        <v>951</v>
      </c>
      <c r="J613" t="s">
        <v>952</v>
      </c>
      <c r="K613">
        <v>7.01</v>
      </c>
      <c r="L613">
        <v>2.4860000000000002</v>
      </c>
      <c r="M613" s="1">
        <v>10</v>
      </c>
      <c r="N613" s="1" t="s">
        <v>445</v>
      </c>
    </row>
    <row r="614" spans="1:14" x14ac:dyDescent="0.25">
      <c r="A614" t="s">
        <v>1946</v>
      </c>
      <c r="B614" t="s">
        <v>1609</v>
      </c>
      <c r="C614" t="s">
        <v>9</v>
      </c>
      <c r="D614" s="4">
        <v>2.8797689109343699E-2</v>
      </c>
      <c r="E614" s="3">
        <v>10056701.374334499</v>
      </c>
      <c r="F614" s="3">
        <f>E614/7.8</f>
        <v>1289320.6890172435</v>
      </c>
      <c r="G614" s="3">
        <f>F614/2</f>
        <v>644660.34450862173</v>
      </c>
      <c r="H614" t="s">
        <v>88</v>
      </c>
      <c r="I614" t="s">
        <v>982</v>
      </c>
      <c r="J614" t="s">
        <v>983</v>
      </c>
      <c r="K614">
        <v>13.39</v>
      </c>
      <c r="L614">
        <v>2.5129999999999999</v>
      </c>
      <c r="M614" s="1">
        <v>100</v>
      </c>
      <c r="N614" s="1" t="s">
        <v>445</v>
      </c>
    </row>
    <row r="615" spans="1:14" x14ac:dyDescent="0.25">
      <c r="A615" t="s">
        <v>1946</v>
      </c>
      <c r="B615" t="s">
        <v>1609</v>
      </c>
      <c r="C615" t="s">
        <v>448</v>
      </c>
      <c r="D615" s="4">
        <v>4.3068598051303399E-2</v>
      </c>
      <c r="E615" s="3">
        <v>1188522.0865712001</v>
      </c>
      <c r="H615" t="s">
        <v>984</v>
      </c>
      <c r="I615" t="s">
        <v>985</v>
      </c>
      <c r="J615" t="s">
        <v>986</v>
      </c>
      <c r="K615">
        <v>7.01</v>
      </c>
      <c r="L615">
        <v>2.5129999999999999</v>
      </c>
      <c r="M615" s="1">
        <v>100</v>
      </c>
      <c r="N615" s="1" t="s">
        <v>445</v>
      </c>
    </row>
    <row r="616" spans="1:14" x14ac:dyDescent="0.25">
      <c r="A616" t="s">
        <v>1948</v>
      </c>
      <c r="B616" t="s">
        <v>1609</v>
      </c>
      <c r="C616" t="s">
        <v>9</v>
      </c>
      <c r="D616" s="4">
        <v>4.4813069994120998E-2</v>
      </c>
      <c r="E616" s="3">
        <v>1845781.84535169</v>
      </c>
      <c r="F616" s="3">
        <f>E616/7.8</f>
        <v>236638.69812201153</v>
      </c>
      <c r="G616" s="3">
        <f>F616/2</f>
        <v>118319.34906100576</v>
      </c>
      <c r="H616" t="s">
        <v>308</v>
      </c>
      <c r="I616" t="s">
        <v>953</v>
      </c>
      <c r="J616" t="s">
        <v>954</v>
      </c>
      <c r="K616">
        <v>12.11</v>
      </c>
      <c r="L616">
        <v>2.4489999999999998</v>
      </c>
      <c r="M616" s="1">
        <v>10</v>
      </c>
      <c r="N616" s="1" t="s">
        <v>445</v>
      </c>
    </row>
    <row r="617" spans="1:14" x14ac:dyDescent="0.25">
      <c r="A617" t="s">
        <v>1948</v>
      </c>
      <c r="B617" t="s">
        <v>1609</v>
      </c>
      <c r="C617" t="s">
        <v>448</v>
      </c>
      <c r="D617" s="4">
        <v>3.2398808803729001E-2</v>
      </c>
      <c r="E617" s="3">
        <v>253800.965690652</v>
      </c>
      <c r="H617" t="s">
        <v>308</v>
      </c>
      <c r="I617" t="s">
        <v>955</v>
      </c>
      <c r="J617" t="s">
        <v>956</v>
      </c>
      <c r="K617">
        <v>7.01</v>
      </c>
      <c r="L617">
        <v>2.4489999999999998</v>
      </c>
      <c r="M617" s="1">
        <v>10</v>
      </c>
      <c r="N617" s="1" t="s">
        <v>445</v>
      </c>
    </row>
    <row r="618" spans="1:14" x14ac:dyDescent="0.25">
      <c r="A618" t="s">
        <v>1950</v>
      </c>
      <c r="B618" t="s">
        <v>1609</v>
      </c>
      <c r="C618" t="s">
        <v>9</v>
      </c>
      <c r="D618" s="4">
        <v>2.7402711317480399E-2</v>
      </c>
      <c r="E618" s="3">
        <v>5200026.3524582004</v>
      </c>
      <c r="F618" s="3">
        <f>E618/7.8</f>
        <v>666670.04518694873</v>
      </c>
      <c r="G618" s="3">
        <f>F618/2</f>
        <v>333335.02259347436</v>
      </c>
      <c r="H618" t="s">
        <v>1049</v>
      </c>
      <c r="I618" t="s">
        <v>1050</v>
      </c>
      <c r="J618" t="s">
        <v>1051</v>
      </c>
      <c r="K618">
        <v>11.48</v>
      </c>
      <c r="L618">
        <v>2.6930000000000001</v>
      </c>
      <c r="M618" s="1">
        <v>100</v>
      </c>
      <c r="N618" s="1" t="s">
        <v>445</v>
      </c>
    </row>
    <row r="619" spans="1:14" x14ac:dyDescent="0.25">
      <c r="A619" t="s">
        <v>1950</v>
      </c>
      <c r="B619" t="s">
        <v>1609</v>
      </c>
      <c r="C619" t="s">
        <v>448</v>
      </c>
      <c r="D619" s="4">
        <v>5.5111218482182499E-2</v>
      </c>
      <c r="E619" s="3">
        <v>654213.36842821795</v>
      </c>
      <c r="H619" t="s">
        <v>1052</v>
      </c>
      <c r="I619" t="s">
        <v>1053</v>
      </c>
      <c r="J619" t="s">
        <v>1054</v>
      </c>
      <c r="K619">
        <v>8.2899999999999991</v>
      </c>
      <c r="L619">
        <v>2.6930000000000001</v>
      </c>
      <c r="M619" s="1">
        <v>100</v>
      </c>
      <c r="N619" s="1" t="s">
        <v>445</v>
      </c>
    </row>
    <row r="620" spans="1:14" x14ac:dyDescent="0.25">
      <c r="A620" t="s">
        <v>1951</v>
      </c>
      <c r="B620" t="s">
        <v>1609</v>
      </c>
      <c r="C620" t="s">
        <v>9</v>
      </c>
      <c r="D620" s="4">
        <v>2.8890966437860401E-2</v>
      </c>
      <c r="E620" s="3">
        <v>1007232.5899442401</v>
      </c>
      <c r="F620" s="3">
        <f>E620/7.8</f>
        <v>129132.38332618463</v>
      </c>
      <c r="G620" s="3">
        <f>F620/2</f>
        <v>64566.191663092315</v>
      </c>
      <c r="H620" t="s">
        <v>121</v>
      </c>
      <c r="I620" t="s">
        <v>907</v>
      </c>
      <c r="J620" t="s">
        <v>908</v>
      </c>
      <c r="K620">
        <v>11.48</v>
      </c>
      <c r="L620">
        <v>2.548</v>
      </c>
      <c r="M620" s="1">
        <v>10</v>
      </c>
      <c r="N620" s="1" t="s">
        <v>445</v>
      </c>
    </row>
    <row r="621" spans="1:14" x14ac:dyDescent="0.25">
      <c r="A621" t="s">
        <v>1951</v>
      </c>
      <c r="B621" t="s">
        <v>1609</v>
      </c>
      <c r="C621" t="s">
        <v>448</v>
      </c>
      <c r="D621" s="4">
        <v>4.2925663615068901E-2</v>
      </c>
      <c r="E621" s="3">
        <v>117552.84233561601</v>
      </c>
      <c r="H621" t="s">
        <v>347</v>
      </c>
      <c r="I621" t="s">
        <v>909</v>
      </c>
      <c r="J621" t="s">
        <v>910</v>
      </c>
      <c r="K621">
        <v>7.65</v>
      </c>
      <c r="L621">
        <v>2.548</v>
      </c>
      <c r="M621" s="1">
        <v>10</v>
      </c>
      <c r="N621" s="1" t="s">
        <v>445</v>
      </c>
    </row>
    <row r="622" spans="1:14" x14ac:dyDescent="0.25">
      <c r="A622" t="s">
        <v>1952</v>
      </c>
      <c r="B622" t="s">
        <v>1609</v>
      </c>
      <c r="C622" t="s">
        <v>9</v>
      </c>
      <c r="D622" s="4">
        <v>2.70558528625423E-2</v>
      </c>
      <c r="E622" s="3">
        <v>517882.21776124701</v>
      </c>
      <c r="F622" s="3">
        <f>E622/7.8</f>
        <v>66395.156123236797</v>
      </c>
      <c r="G622" s="3">
        <f>F622/2</f>
        <v>33197.578061618398</v>
      </c>
      <c r="H622" t="s">
        <v>198</v>
      </c>
      <c r="I622" t="s">
        <v>548</v>
      </c>
      <c r="J622" t="s">
        <v>834</v>
      </c>
      <c r="K622">
        <v>15.94</v>
      </c>
      <c r="L622">
        <v>2.5960000000000001</v>
      </c>
      <c r="M622" s="1">
        <v>10</v>
      </c>
      <c r="N622" s="1" t="s">
        <v>445</v>
      </c>
    </row>
    <row r="623" spans="1:14" x14ac:dyDescent="0.25">
      <c r="A623" t="s">
        <v>1952</v>
      </c>
      <c r="B623" t="s">
        <v>1609</v>
      </c>
      <c r="C623" t="s">
        <v>448</v>
      </c>
      <c r="D623" s="4">
        <v>5.4827670230684397E-2</v>
      </c>
      <c r="E623" s="3">
        <v>66299.786175560206</v>
      </c>
      <c r="H623" t="s">
        <v>169</v>
      </c>
      <c r="I623" t="s">
        <v>835</v>
      </c>
      <c r="J623" t="s">
        <v>836</v>
      </c>
      <c r="K623">
        <v>7.01</v>
      </c>
      <c r="L623">
        <v>2.5960000000000001</v>
      </c>
      <c r="M623" s="1">
        <v>10</v>
      </c>
      <c r="N623" s="1" t="s">
        <v>445</v>
      </c>
    </row>
    <row r="624" spans="1:14" x14ac:dyDescent="0.25">
      <c r="A624" t="s">
        <v>1954</v>
      </c>
      <c r="B624" t="s">
        <v>1609</v>
      </c>
      <c r="C624" t="s">
        <v>9</v>
      </c>
      <c r="D624" s="4">
        <v>3.8603240616832998E-2</v>
      </c>
      <c r="E624" s="3">
        <v>151561.28918686201</v>
      </c>
      <c r="F624" s="3">
        <f>E624/7.8</f>
        <v>19430.934511136154</v>
      </c>
      <c r="G624" s="3">
        <f>F624/2</f>
        <v>9715.4672555680772</v>
      </c>
      <c r="H624" t="s">
        <v>91</v>
      </c>
      <c r="I624" t="s">
        <v>818</v>
      </c>
      <c r="J624" t="s">
        <v>819</v>
      </c>
      <c r="K624">
        <v>12.75</v>
      </c>
      <c r="L624">
        <v>2.6160000000000001</v>
      </c>
      <c r="M624" s="1" t="s">
        <v>20</v>
      </c>
      <c r="N624" s="1" t="s">
        <v>445</v>
      </c>
    </row>
    <row r="625" spans="1:14" x14ac:dyDescent="0.25">
      <c r="A625" t="s">
        <v>1954</v>
      </c>
      <c r="B625" t="s">
        <v>1609</v>
      </c>
      <c r="C625" t="s">
        <v>448</v>
      </c>
      <c r="D625" s="4">
        <v>3.5739569087293803E-2</v>
      </c>
      <c r="E625" s="3">
        <v>18380.895222566502</v>
      </c>
      <c r="H625" t="s">
        <v>820</v>
      </c>
      <c r="I625" t="s">
        <v>821</v>
      </c>
      <c r="J625" t="s">
        <v>822</v>
      </c>
      <c r="K625">
        <v>7.01</v>
      </c>
      <c r="L625">
        <v>2.6160000000000001</v>
      </c>
      <c r="M625" s="1" t="s">
        <v>20</v>
      </c>
      <c r="N625" s="1" t="s">
        <v>445</v>
      </c>
    </row>
    <row r="626" spans="1:14" x14ac:dyDescent="0.25">
      <c r="A626" t="s">
        <v>1973</v>
      </c>
      <c r="B626" t="s">
        <v>1609</v>
      </c>
      <c r="C626" t="s">
        <v>9</v>
      </c>
      <c r="D626" s="4">
        <v>5.0052034407794703E-2</v>
      </c>
      <c r="E626" s="3">
        <v>80432.122266638602</v>
      </c>
      <c r="F626" s="3">
        <f>E626/7.8</f>
        <v>10311.810547004949</v>
      </c>
      <c r="G626" s="3">
        <f>F626/2</f>
        <v>5155.9052735024743</v>
      </c>
      <c r="H626" t="s">
        <v>273</v>
      </c>
      <c r="I626" t="s">
        <v>607</v>
      </c>
      <c r="J626" t="s">
        <v>911</v>
      </c>
      <c r="K626">
        <v>13.39</v>
      </c>
      <c r="L626">
        <v>2.6320000000000001</v>
      </c>
      <c r="M626" s="1">
        <v>10</v>
      </c>
      <c r="N626" s="1" t="s">
        <v>445</v>
      </c>
    </row>
    <row r="627" spans="1:14" x14ac:dyDescent="0.25">
      <c r="A627" t="s">
        <v>1973</v>
      </c>
      <c r="B627" t="s">
        <v>1609</v>
      </c>
      <c r="C627" t="s">
        <v>448</v>
      </c>
      <c r="D627" s="4">
        <v>0.14072104905819499</v>
      </c>
      <c r="E627" s="3">
        <v>9220.2796328237691</v>
      </c>
      <c r="H627" t="s">
        <v>347</v>
      </c>
      <c r="I627" t="s">
        <v>912</v>
      </c>
      <c r="J627" t="s">
        <v>913</v>
      </c>
      <c r="K627">
        <v>8.93</v>
      </c>
      <c r="L627">
        <v>2.6320000000000001</v>
      </c>
      <c r="M627" s="1">
        <v>10</v>
      </c>
      <c r="N627" s="1" t="s">
        <v>445</v>
      </c>
    </row>
    <row r="628" spans="1:14" x14ac:dyDescent="0.25">
      <c r="A628" t="s">
        <v>1974</v>
      </c>
      <c r="B628" t="s">
        <v>1609</v>
      </c>
      <c r="C628" t="s">
        <v>9</v>
      </c>
      <c r="D628" s="4">
        <v>2.98340278376867E-2</v>
      </c>
      <c r="E628" s="3">
        <v>3155554.8276490699</v>
      </c>
      <c r="F628" s="3">
        <f>E628/7.8</f>
        <v>404558.31123706023</v>
      </c>
      <c r="G628" s="3">
        <f>F628/2</f>
        <v>202279.15561853012</v>
      </c>
      <c r="H628" t="s">
        <v>468</v>
      </c>
      <c r="I628" t="s">
        <v>837</v>
      </c>
      <c r="J628" t="s">
        <v>838</v>
      </c>
      <c r="K628">
        <v>14.66</v>
      </c>
      <c r="L628">
        <v>2.5739999999999998</v>
      </c>
      <c r="M628" s="1">
        <v>100</v>
      </c>
      <c r="N628" s="1" t="s">
        <v>445</v>
      </c>
    </row>
    <row r="629" spans="1:14" x14ac:dyDescent="0.25">
      <c r="A629" t="s">
        <v>1974</v>
      </c>
      <c r="B629" t="s">
        <v>1609</v>
      </c>
      <c r="C629" t="s">
        <v>448</v>
      </c>
      <c r="D629" s="4">
        <v>6.4832665829609698E-2</v>
      </c>
      <c r="E629" s="3">
        <v>464475.07564902899</v>
      </c>
      <c r="H629" t="s">
        <v>294</v>
      </c>
      <c r="I629" t="s">
        <v>839</v>
      </c>
      <c r="J629" t="s">
        <v>840</v>
      </c>
      <c r="K629">
        <v>7.01</v>
      </c>
      <c r="L629">
        <v>2.5739999999999998</v>
      </c>
      <c r="M629" s="1">
        <v>100</v>
      </c>
      <c r="N629" s="1" t="s">
        <v>445</v>
      </c>
    </row>
    <row r="630" spans="1:14" x14ac:dyDescent="0.25">
      <c r="A630" t="s">
        <v>1983</v>
      </c>
      <c r="B630" t="s">
        <v>1609</v>
      </c>
      <c r="C630" t="s">
        <v>9</v>
      </c>
      <c r="D630" s="4">
        <v>3.1353673064495803E-2</v>
      </c>
      <c r="E630" s="3">
        <v>11671443.2554709</v>
      </c>
      <c r="F630" s="3">
        <f>E630/7.8</f>
        <v>1496338.8789065257</v>
      </c>
      <c r="G630" s="3">
        <f>F630/2</f>
        <v>748169.43945326284</v>
      </c>
      <c r="H630" t="s">
        <v>634</v>
      </c>
      <c r="I630" t="s">
        <v>1055</v>
      </c>
      <c r="J630" t="s">
        <v>1056</v>
      </c>
      <c r="K630">
        <v>12.11</v>
      </c>
      <c r="L630">
        <v>2.601</v>
      </c>
      <c r="M630" s="1">
        <v>100</v>
      </c>
      <c r="N630" s="1" t="s">
        <v>445</v>
      </c>
    </row>
    <row r="631" spans="1:14" x14ac:dyDescent="0.25">
      <c r="A631" t="s">
        <v>1983</v>
      </c>
      <c r="B631" t="s">
        <v>1609</v>
      </c>
      <c r="C631" t="s">
        <v>448</v>
      </c>
      <c r="D631" s="4">
        <v>3.8880014779566797E-2</v>
      </c>
      <c r="E631" s="3">
        <v>1484109.80309332</v>
      </c>
      <c r="H631" t="s">
        <v>223</v>
      </c>
      <c r="I631" t="s">
        <v>1057</v>
      </c>
      <c r="J631" t="s">
        <v>1058</v>
      </c>
      <c r="K631">
        <v>7.01</v>
      </c>
      <c r="L631">
        <v>2.601</v>
      </c>
      <c r="M631" s="1">
        <v>100</v>
      </c>
      <c r="N631" s="1" t="s">
        <v>445</v>
      </c>
    </row>
    <row r="632" spans="1:14" x14ac:dyDescent="0.25">
      <c r="A632" t="s">
        <v>1985</v>
      </c>
      <c r="B632" t="s">
        <v>1609</v>
      </c>
      <c r="C632" t="s">
        <v>9</v>
      </c>
      <c r="D632" s="4">
        <v>3.2468808037401597E-2</v>
      </c>
      <c r="E632" s="3">
        <v>1272364.2533810399</v>
      </c>
      <c r="F632" s="3">
        <f>E632/7.8</f>
        <v>163123.62222833847</v>
      </c>
      <c r="G632" s="3">
        <f>F632/2</f>
        <v>81561.811114169235</v>
      </c>
      <c r="H632" t="s">
        <v>169</v>
      </c>
      <c r="I632" t="s">
        <v>987</v>
      </c>
      <c r="J632" t="s">
        <v>673</v>
      </c>
      <c r="K632">
        <v>12.11</v>
      </c>
      <c r="L632">
        <v>2.528</v>
      </c>
      <c r="M632" s="1">
        <v>10</v>
      </c>
      <c r="N632" s="1" t="s">
        <v>445</v>
      </c>
    </row>
    <row r="633" spans="1:14" x14ac:dyDescent="0.25">
      <c r="A633" t="s">
        <v>1985</v>
      </c>
      <c r="B633" t="s">
        <v>1609</v>
      </c>
      <c r="C633" t="s">
        <v>448</v>
      </c>
      <c r="D633" s="4">
        <v>3.8778699483244097E-2</v>
      </c>
      <c r="E633" s="3">
        <v>154029.067723613</v>
      </c>
      <c r="H633" t="s">
        <v>988</v>
      </c>
      <c r="I633" t="s">
        <v>989</v>
      </c>
      <c r="J633" t="s">
        <v>990</v>
      </c>
      <c r="K633">
        <v>7.01</v>
      </c>
      <c r="L633">
        <v>2.528</v>
      </c>
      <c r="M633" s="1">
        <v>10</v>
      </c>
      <c r="N633" s="1" t="s">
        <v>445</v>
      </c>
    </row>
    <row r="634" spans="1:14" x14ac:dyDescent="0.25">
      <c r="A634" t="s">
        <v>1988</v>
      </c>
      <c r="B634" t="s">
        <v>1609</v>
      </c>
      <c r="C634" t="s">
        <v>9</v>
      </c>
      <c r="D634" s="4">
        <v>2.9232946795063101E-2</v>
      </c>
      <c r="E634" s="3">
        <v>3480067.6657381901</v>
      </c>
      <c r="F634" s="3">
        <f>E634/7.8</f>
        <v>446162.52124848589</v>
      </c>
      <c r="G634" s="3">
        <f>F634/2</f>
        <v>223081.26062424295</v>
      </c>
      <c r="H634" t="s">
        <v>67</v>
      </c>
      <c r="I634" t="s">
        <v>957</v>
      </c>
      <c r="J634" t="s">
        <v>958</v>
      </c>
      <c r="K634">
        <v>13.39</v>
      </c>
      <c r="L634">
        <v>2.5270000000000001</v>
      </c>
      <c r="M634" s="1">
        <v>100</v>
      </c>
      <c r="N634" s="1" t="s">
        <v>445</v>
      </c>
    </row>
    <row r="635" spans="1:14" x14ac:dyDescent="0.25">
      <c r="A635" t="s">
        <v>1988</v>
      </c>
      <c r="B635" t="s">
        <v>1609</v>
      </c>
      <c r="C635" t="s">
        <v>448</v>
      </c>
      <c r="D635" s="4">
        <v>6.7220822229166005E-2</v>
      </c>
      <c r="E635" s="3">
        <v>438270.21939818701</v>
      </c>
      <c r="H635" t="s">
        <v>308</v>
      </c>
      <c r="I635" t="s">
        <v>959</v>
      </c>
      <c r="J635" t="s">
        <v>960</v>
      </c>
      <c r="K635">
        <v>8.2899999999999991</v>
      </c>
      <c r="L635">
        <v>2.5270000000000001</v>
      </c>
      <c r="M635" s="1">
        <v>100</v>
      </c>
      <c r="N635" s="1" t="s">
        <v>445</v>
      </c>
    </row>
    <row r="636" spans="1:14" x14ac:dyDescent="0.25">
      <c r="A636" t="s">
        <v>447</v>
      </c>
      <c r="B636" t="s">
        <v>1609</v>
      </c>
      <c r="C636" t="s">
        <v>9</v>
      </c>
      <c r="D636" s="4">
        <v>0</v>
      </c>
      <c r="E636" s="3">
        <v>0</v>
      </c>
      <c r="F636" s="3">
        <f>E636/7.8</f>
        <v>0</v>
      </c>
      <c r="G636" s="3">
        <f>F636/2</f>
        <v>0</v>
      </c>
      <c r="H636" t="s">
        <v>347</v>
      </c>
      <c r="I636" t="s">
        <v>201</v>
      </c>
      <c r="J636" t="s">
        <v>347</v>
      </c>
      <c r="K636">
        <v>11.73</v>
      </c>
      <c r="L636">
        <v>2.6539999999999999</v>
      </c>
      <c r="M636" s="1" t="s">
        <v>20</v>
      </c>
      <c r="N636" s="1" t="s">
        <v>446</v>
      </c>
    </row>
    <row r="637" spans="1:14" x14ac:dyDescent="0.25">
      <c r="A637" t="s">
        <v>447</v>
      </c>
      <c r="B637" t="s">
        <v>1609</v>
      </c>
      <c r="C637" t="s">
        <v>448</v>
      </c>
      <c r="D637" s="4">
        <v>0</v>
      </c>
      <c r="E637" s="3">
        <v>0</v>
      </c>
      <c r="H637" t="s">
        <v>347</v>
      </c>
      <c r="I637" t="s">
        <v>201</v>
      </c>
      <c r="J637" t="s">
        <v>347</v>
      </c>
      <c r="K637">
        <v>11.73</v>
      </c>
      <c r="L637">
        <v>2.6539999999999999</v>
      </c>
      <c r="M637" s="1" t="s">
        <v>20</v>
      </c>
      <c r="N637" s="1" t="s">
        <v>446</v>
      </c>
    </row>
    <row r="638" spans="1:14" x14ac:dyDescent="0.25">
      <c r="A638" t="s">
        <v>1608</v>
      </c>
      <c r="B638" t="s">
        <v>1609</v>
      </c>
      <c r="C638" t="s">
        <v>9</v>
      </c>
      <c r="D638" s="4">
        <v>3.7659800970546102E-2</v>
      </c>
      <c r="E638" s="3">
        <v>156836571.25217101</v>
      </c>
      <c r="F638" s="3">
        <f>E638/7.8</f>
        <v>20107252.724637311</v>
      </c>
      <c r="G638" s="3">
        <f>F638/2</f>
        <v>10053626.362318655</v>
      </c>
      <c r="H638" t="s">
        <v>953</v>
      </c>
      <c r="I638" t="s">
        <v>1363</v>
      </c>
      <c r="J638" t="s">
        <v>1364</v>
      </c>
      <c r="K638">
        <v>13.39</v>
      </c>
      <c r="L638">
        <v>2.6640000000000001</v>
      </c>
      <c r="M638" s="1">
        <v>10000</v>
      </c>
      <c r="N638" s="1" t="s">
        <v>446</v>
      </c>
    </row>
    <row r="639" spans="1:14" x14ac:dyDescent="0.25">
      <c r="A639" t="s">
        <v>1608</v>
      </c>
      <c r="B639" t="s">
        <v>1609</v>
      </c>
      <c r="C639" t="s">
        <v>448</v>
      </c>
      <c r="D639" s="4">
        <v>9.1496592490425993E-2</v>
      </c>
      <c r="E639" s="3">
        <v>21927113.024501801</v>
      </c>
      <c r="H639" t="s">
        <v>88</v>
      </c>
      <c r="I639" t="s">
        <v>1365</v>
      </c>
      <c r="J639" t="s">
        <v>1366</v>
      </c>
      <c r="K639">
        <v>7.01</v>
      </c>
      <c r="L639">
        <v>2.6640000000000001</v>
      </c>
      <c r="M639" s="1">
        <v>10000</v>
      </c>
      <c r="N639" s="1" t="s">
        <v>446</v>
      </c>
    </row>
    <row r="640" spans="1:14" x14ac:dyDescent="0.25">
      <c r="A640" t="s">
        <v>10</v>
      </c>
      <c r="B640" t="s">
        <v>1609</v>
      </c>
      <c r="C640" t="s">
        <v>9</v>
      </c>
      <c r="D640" s="4" t="s">
        <v>20</v>
      </c>
      <c r="E640" s="3" t="s">
        <v>20</v>
      </c>
      <c r="F640" s="3" t="e">
        <f>E640/7.8</f>
        <v>#VALUE!</v>
      </c>
      <c r="G640" s="3" t="e">
        <f>F640/2</f>
        <v>#VALUE!</v>
      </c>
      <c r="H640" t="s">
        <v>53</v>
      </c>
      <c r="I640" t="s">
        <v>201</v>
      </c>
      <c r="J640" t="s">
        <v>53</v>
      </c>
      <c r="K640">
        <v>21.93</v>
      </c>
      <c r="L640">
        <v>2.6880000000000002</v>
      </c>
      <c r="M640" s="1" t="s">
        <v>20</v>
      </c>
      <c r="N640" s="1" t="s">
        <v>446</v>
      </c>
    </row>
    <row r="641" spans="1:14" x14ac:dyDescent="0.25">
      <c r="A641" t="s">
        <v>10</v>
      </c>
      <c r="B641" t="s">
        <v>1609</v>
      </c>
      <c r="C641" t="s">
        <v>448</v>
      </c>
      <c r="D641" s="4" t="s">
        <v>20</v>
      </c>
      <c r="E641" s="3" t="s">
        <v>20</v>
      </c>
      <c r="H641" t="s">
        <v>53</v>
      </c>
      <c r="I641" t="s">
        <v>201</v>
      </c>
      <c r="J641" t="s">
        <v>53</v>
      </c>
      <c r="K641">
        <v>9.18</v>
      </c>
      <c r="L641">
        <v>2.6880000000000002</v>
      </c>
      <c r="M641" s="1" t="s">
        <v>20</v>
      </c>
      <c r="N641" s="1" t="s">
        <v>446</v>
      </c>
    </row>
    <row r="642" spans="1:14" x14ac:dyDescent="0.25">
      <c r="A642" t="s">
        <v>1612</v>
      </c>
      <c r="B642" t="s">
        <v>1609</v>
      </c>
      <c r="C642" t="s">
        <v>9</v>
      </c>
      <c r="D642" s="4">
        <v>3.0860377554890399E-2</v>
      </c>
      <c r="E642" s="3">
        <v>270997.17894414702</v>
      </c>
      <c r="F642" s="3">
        <f>E642/7.8</f>
        <v>34743.228069762437</v>
      </c>
      <c r="G642" s="3">
        <f>F642/2</f>
        <v>17371.614034881219</v>
      </c>
      <c r="H642" t="s">
        <v>76</v>
      </c>
      <c r="I642" t="s">
        <v>1222</v>
      </c>
      <c r="J642" t="s">
        <v>1223</v>
      </c>
      <c r="K642">
        <v>12.11</v>
      </c>
      <c r="L642">
        <v>2.681</v>
      </c>
      <c r="M642" s="1">
        <v>10</v>
      </c>
      <c r="N642" s="1" t="s">
        <v>446</v>
      </c>
    </row>
    <row r="643" spans="1:14" x14ac:dyDescent="0.25">
      <c r="A643" t="s">
        <v>1612</v>
      </c>
      <c r="B643" t="s">
        <v>1609</v>
      </c>
      <c r="C643" t="s">
        <v>448</v>
      </c>
      <c r="D643" s="4">
        <v>7.3530241959076495E-2</v>
      </c>
      <c r="E643" s="3">
        <v>34258.810934939298</v>
      </c>
      <c r="H643" t="s">
        <v>76</v>
      </c>
      <c r="I643" t="s">
        <v>1224</v>
      </c>
      <c r="J643" t="s">
        <v>1225</v>
      </c>
      <c r="K643">
        <v>8.2899999999999991</v>
      </c>
      <c r="L643">
        <v>2.681</v>
      </c>
      <c r="M643" s="1">
        <v>10</v>
      </c>
      <c r="N643" s="1" t="s">
        <v>446</v>
      </c>
    </row>
    <row r="644" spans="1:14" x14ac:dyDescent="0.25">
      <c r="A644" t="s">
        <v>1613</v>
      </c>
      <c r="B644" t="s">
        <v>1609</v>
      </c>
      <c r="C644" t="s">
        <v>9</v>
      </c>
      <c r="D644" s="4">
        <v>2.9072432336332301E-2</v>
      </c>
      <c r="E644" s="3">
        <v>1029372.9713393101</v>
      </c>
      <c r="F644" s="3">
        <f>E644/7.8</f>
        <v>131970.89376145002</v>
      </c>
      <c r="G644" s="3">
        <f>F644/2</f>
        <v>65985.446880725009</v>
      </c>
      <c r="H644" t="s">
        <v>162</v>
      </c>
      <c r="I644" t="s">
        <v>1237</v>
      </c>
      <c r="J644" t="s">
        <v>1238</v>
      </c>
      <c r="K644">
        <v>10.84</v>
      </c>
      <c r="L644">
        <v>2.5270000000000001</v>
      </c>
      <c r="M644" s="1">
        <v>10</v>
      </c>
      <c r="N644" s="1" t="s">
        <v>446</v>
      </c>
    </row>
    <row r="645" spans="1:14" x14ac:dyDescent="0.25">
      <c r="A645" t="s">
        <v>1613</v>
      </c>
      <c r="B645" t="s">
        <v>1609</v>
      </c>
      <c r="C645" t="s">
        <v>448</v>
      </c>
      <c r="D645" s="4">
        <v>4.13181728079531E-2</v>
      </c>
      <c r="E645" s="3">
        <v>130320.924183226</v>
      </c>
      <c r="H645" t="s">
        <v>407</v>
      </c>
      <c r="I645" t="s">
        <v>1239</v>
      </c>
      <c r="J645" t="s">
        <v>1240</v>
      </c>
      <c r="K645">
        <v>7.01</v>
      </c>
      <c r="L645">
        <v>2.5270000000000001</v>
      </c>
      <c r="M645" s="1">
        <v>10</v>
      </c>
      <c r="N645" s="1" t="s">
        <v>446</v>
      </c>
    </row>
    <row r="646" spans="1:14" x14ac:dyDescent="0.25">
      <c r="A646" t="s">
        <v>1614</v>
      </c>
      <c r="B646" t="s">
        <v>1609</v>
      </c>
      <c r="C646" t="s">
        <v>9</v>
      </c>
      <c r="D646" s="4">
        <v>2.95350369214951E-2</v>
      </c>
      <c r="E646" s="3">
        <v>1066838.9213498801</v>
      </c>
      <c r="F646" s="3">
        <f>E646/7.8</f>
        <v>136774.22068588206</v>
      </c>
      <c r="G646" s="3">
        <f>F646/2</f>
        <v>68387.110342941029</v>
      </c>
      <c r="H646" t="s">
        <v>421</v>
      </c>
      <c r="I646" t="s">
        <v>1275</v>
      </c>
      <c r="J646" t="s">
        <v>701</v>
      </c>
      <c r="K646">
        <v>17.21</v>
      </c>
      <c r="L646">
        <v>2.5249999999999999</v>
      </c>
      <c r="M646" s="1">
        <v>10</v>
      </c>
      <c r="N646" s="1" t="s">
        <v>446</v>
      </c>
    </row>
    <row r="647" spans="1:14" x14ac:dyDescent="0.25">
      <c r="A647" t="s">
        <v>1614</v>
      </c>
      <c r="B647" t="s">
        <v>1609</v>
      </c>
      <c r="C647" t="s">
        <v>448</v>
      </c>
      <c r="D647" s="4">
        <v>4.2176619665257799E-2</v>
      </c>
      <c r="E647" s="3">
        <v>125038.16784635599</v>
      </c>
      <c r="H647" t="s">
        <v>153</v>
      </c>
      <c r="I647" t="s">
        <v>1276</v>
      </c>
      <c r="J647" t="s">
        <v>1277</v>
      </c>
      <c r="K647">
        <v>7.01</v>
      </c>
      <c r="L647">
        <v>2.5249999999999999</v>
      </c>
      <c r="M647" s="1">
        <v>10</v>
      </c>
      <c r="N647" s="1" t="s">
        <v>446</v>
      </c>
    </row>
    <row r="648" spans="1:14" x14ac:dyDescent="0.25">
      <c r="A648" t="s">
        <v>1618</v>
      </c>
      <c r="B648" t="s">
        <v>1609</v>
      </c>
      <c r="C648" t="s">
        <v>9</v>
      </c>
      <c r="D648" s="4">
        <v>3.0194721636285098E-2</v>
      </c>
      <c r="E648" s="3">
        <v>296681.53033755597</v>
      </c>
      <c r="F648" s="3">
        <f>E648/7.8</f>
        <v>38036.093633019998</v>
      </c>
      <c r="G648" s="3">
        <f>F648/2</f>
        <v>19018.046816509999</v>
      </c>
      <c r="H648" t="s">
        <v>27</v>
      </c>
      <c r="I648" t="s">
        <v>1360</v>
      </c>
      <c r="J648" t="s">
        <v>1361</v>
      </c>
      <c r="K648">
        <v>15.94</v>
      </c>
      <c r="L648">
        <v>2.63</v>
      </c>
      <c r="M648" s="1">
        <v>10</v>
      </c>
      <c r="N648" s="1" t="s">
        <v>446</v>
      </c>
    </row>
    <row r="649" spans="1:14" x14ac:dyDescent="0.25">
      <c r="A649" t="s">
        <v>1618</v>
      </c>
      <c r="B649" t="s">
        <v>1609</v>
      </c>
      <c r="C649" t="s">
        <v>448</v>
      </c>
      <c r="D649" s="4">
        <v>6.9068152689999995E-2</v>
      </c>
      <c r="E649" s="3">
        <v>39790.999713242098</v>
      </c>
      <c r="H649" t="s">
        <v>56</v>
      </c>
      <c r="I649" t="s">
        <v>1362</v>
      </c>
      <c r="J649" t="s">
        <v>615</v>
      </c>
      <c r="K649">
        <v>7.01</v>
      </c>
      <c r="L649">
        <v>2.63</v>
      </c>
      <c r="M649" s="1">
        <v>10</v>
      </c>
      <c r="N649" s="1" t="s">
        <v>446</v>
      </c>
    </row>
    <row r="650" spans="1:14" x14ac:dyDescent="0.25">
      <c r="A650" t="s">
        <v>1638</v>
      </c>
      <c r="B650" t="s">
        <v>1609</v>
      </c>
      <c r="C650" t="s">
        <v>9</v>
      </c>
      <c r="D650" s="4">
        <v>3.1503669288144201E-2</v>
      </c>
      <c r="E650" s="3">
        <v>1104524.7999924701</v>
      </c>
      <c r="F650" s="3">
        <f>E650/7.8</f>
        <v>141605.74358877822</v>
      </c>
      <c r="G650" s="3">
        <f>F650/2</f>
        <v>70802.87179438911</v>
      </c>
      <c r="H650" t="s">
        <v>133</v>
      </c>
      <c r="I650" t="s">
        <v>469</v>
      </c>
      <c r="J650" t="s">
        <v>1118</v>
      </c>
      <c r="K650">
        <v>12.11</v>
      </c>
      <c r="L650">
        <v>2.774</v>
      </c>
      <c r="M650" s="1">
        <v>10</v>
      </c>
      <c r="N650" s="1" t="s">
        <v>446</v>
      </c>
    </row>
    <row r="651" spans="1:14" x14ac:dyDescent="0.25">
      <c r="A651" t="s">
        <v>1638</v>
      </c>
      <c r="B651" t="s">
        <v>1609</v>
      </c>
      <c r="C651" t="s">
        <v>448</v>
      </c>
      <c r="D651" s="4">
        <v>4.3139664473330001E-2</v>
      </c>
      <c r="E651" s="3">
        <v>107189.68167460601</v>
      </c>
      <c r="H651" t="s">
        <v>204</v>
      </c>
      <c r="I651" t="s">
        <v>1119</v>
      </c>
      <c r="J651" t="s">
        <v>1120</v>
      </c>
      <c r="K651">
        <v>7.01</v>
      </c>
      <c r="L651">
        <v>2.774</v>
      </c>
      <c r="M651" s="1">
        <v>10</v>
      </c>
      <c r="N651" s="1" t="s">
        <v>446</v>
      </c>
    </row>
    <row r="652" spans="1:14" x14ac:dyDescent="0.25">
      <c r="A652" t="s">
        <v>1639</v>
      </c>
      <c r="B652" t="s">
        <v>1609</v>
      </c>
      <c r="C652" t="s">
        <v>9</v>
      </c>
      <c r="D652" s="4">
        <v>5.6693315066827801E-2</v>
      </c>
      <c r="E652" s="3">
        <v>1983971.46365072</v>
      </c>
      <c r="F652" s="3">
        <f>E652/7.8</f>
        <v>254355.31585265641</v>
      </c>
      <c r="G652" s="3">
        <f>F652/2</f>
        <v>127177.6579263282</v>
      </c>
      <c r="H652" t="s">
        <v>294</v>
      </c>
      <c r="I652" t="s">
        <v>407</v>
      </c>
      <c r="J652" t="s">
        <v>281</v>
      </c>
      <c r="K652">
        <v>10.84</v>
      </c>
      <c r="L652">
        <v>2.6619999999999999</v>
      </c>
      <c r="M652" s="1">
        <v>10</v>
      </c>
      <c r="N652" s="1" t="s">
        <v>446</v>
      </c>
    </row>
    <row r="653" spans="1:14" x14ac:dyDescent="0.25">
      <c r="A653" t="s">
        <v>1639</v>
      </c>
      <c r="B653" t="s">
        <v>1609</v>
      </c>
      <c r="C653" t="s">
        <v>448</v>
      </c>
      <c r="D653" s="4">
        <v>3.1155903663051401E-2</v>
      </c>
      <c r="E653" s="3">
        <v>263689.11177538102</v>
      </c>
      <c r="H653" t="s">
        <v>294</v>
      </c>
      <c r="I653" t="s">
        <v>1126</v>
      </c>
      <c r="J653" t="s">
        <v>1127</v>
      </c>
      <c r="K653">
        <v>7.01</v>
      </c>
      <c r="L653">
        <v>2.6619999999999999</v>
      </c>
      <c r="M653" s="1">
        <v>10</v>
      </c>
      <c r="N653" s="1" t="s">
        <v>446</v>
      </c>
    </row>
    <row r="654" spans="1:14" x14ac:dyDescent="0.25">
      <c r="A654" t="s">
        <v>1641</v>
      </c>
      <c r="B654" t="s">
        <v>1609</v>
      </c>
      <c r="C654" t="s">
        <v>9</v>
      </c>
      <c r="D654" s="4">
        <v>3.08912601603137E-2</v>
      </c>
      <c r="E654" s="3">
        <v>2843026.4196566101</v>
      </c>
      <c r="F654" s="3">
        <f>E654/7.8</f>
        <v>364490.56662264233</v>
      </c>
      <c r="G654" s="3">
        <f>F654/2</f>
        <v>182245.28331132117</v>
      </c>
      <c r="H654" t="s">
        <v>207</v>
      </c>
      <c r="I654" t="s">
        <v>1165</v>
      </c>
      <c r="J654" t="s">
        <v>1166</v>
      </c>
      <c r="K654">
        <v>13.39</v>
      </c>
      <c r="L654">
        <v>2.544</v>
      </c>
      <c r="M654" s="1">
        <v>100</v>
      </c>
      <c r="N654" s="1" t="s">
        <v>446</v>
      </c>
    </row>
    <row r="655" spans="1:14" x14ac:dyDescent="0.25">
      <c r="A655" t="s">
        <v>1641</v>
      </c>
      <c r="B655" t="s">
        <v>1609</v>
      </c>
      <c r="C655" t="s">
        <v>448</v>
      </c>
      <c r="D655" s="4">
        <v>7.6430248300981496E-2</v>
      </c>
      <c r="E655" s="3">
        <v>332723.57780522801</v>
      </c>
      <c r="H655" t="s">
        <v>207</v>
      </c>
      <c r="I655" t="s">
        <v>68</v>
      </c>
      <c r="J655" t="s">
        <v>75</v>
      </c>
      <c r="K655">
        <v>7.01</v>
      </c>
      <c r="L655">
        <v>2.544</v>
      </c>
      <c r="M655" s="1">
        <v>100</v>
      </c>
      <c r="N655" s="1" t="s">
        <v>446</v>
      </c>
    </row>
    <row r="656" spans="1:14" x14ac:dyDescent="0.25">
      <c r="A656" t="s">
        <v>1645</v>
      </c>
      <c r="B656" t="s">
        <v>1609</v>
      </c>
      <c r="C656" t="s">
        <v>9</v>
      </c>
      <c r="D656" s="4">
        <v>2.6837763681990701E-2</v>
      </c>
      <c r="E656" s="3">
        <v>5872030.8528760299</v>
      </c>
      <c r="F656" s="3">
        <f>E656/7.8</f>
        <v>752824.46831743978</v>
      </c>
      <c r="G656" s="3">
        <f>F656/2</f>
        <v>376412.23415871989</v>
      </c>
      <c r="H656" t="s">
        <v>745</v>
      </c>
      <c r="I656" t="s">
        <v>1097</v>
      </c>
      <c r="J656" t="s">
        <v>1098</v>
      </c>
      <c r="K656">
        <v>12.75</v>
      </c>
      <c r="L656">
        <v>2.718</v>
      </c>
      <c r="M656" s="1">
        <v>100</v>
      </c>
      <c r="N656" s="1" t="s">
        <v>446</v>
      </c>
    </row>
    <row r="657" spans="1:14" x14ac:dyDescent="0.25">
      <c r="A657" t="s">
        <v>1645</v>
      </c>
      <c r="B657" t="s">
        <v>1609</v>
      </c>
      <c r="C657" t="s">
        <v>448</v>
      </c>
      <c r="D657" s="4">
        <v>5.44907525117444E-2</v>
      </c>
      <c r="E657" s="3">
        <v>644330.59123205196</v>
      </c>
      <c r="H657" t="s">
        <v>204</v>
      </c>
      <c r="I657" t="s">
        <v>1099</v>
      </c>
      <c r="J657" t="s">
        <v>1100</v>
      </c>
      <c r="K657">
        <v>8.2899999999999991</v>
      </c>
      <c r="L657">
        <v>2.718</v>
      </c>
      <c r="M657" s="1">
        <v>100</v>
      </c>
      <c r="N657" s="1" t="s">
        <v>446</v>
      </c>
    </row>
    <row r="658" spans="1:14" x14ac:dyDescent="0.25">
      <c r="A658" t="s">
        <v>1647</v>
      </c>
      <c r="B658" t="s">
        <v>1609</v>
      </c>
      <c r="C658" t="s">
        <v>9</v>
      </c>
      <c r="D658" s="4">
        <v>2.71956234524913E-2</v>
      </c>
      <c r="E658" s="3">
        <v>4839198.1405007504</v>
      </c>
      <c r="F658" s="3">
        <f>E658/7.8</f>
        <v>620410.01801291679</v>
      </c>
      <c r="G658" s="3">
        <f>F658/2</f>
        <v>310205.00900645839</v>
      </c>
      <c r="H658" t="s">
        <v>79</v>
      </c>
      <c r="I658" t="s">
        <v>1317</v>
      </c>
      <c r="J658" t="s">
        <v>1318</v>
      </c>
      <c r="K658">
        <v>13.39</v>
      </c>
      <c r="L658">
        <v>2.6930000000000001</v>
      </c>
      <c r="M658" s="1">
        <v>100</v>
      </c>
      <c r="N658" s="1" t="s">
        <v>446</v>
      </c>
    </row>
    <row r="659" spans="1:14" x14ac:dyDescent="0.25">
      <c r="A659" t="s">
        <v>1647</v>
      </c>
      <c r="B659" t="s">
        <v>1609</v>
      </c>
      <c r="C659" t="s">
        <v>448</v>
      </c>
      <c r="D659" s="4">
        <v>5.4490716297664298E-2</v>
      </c>
      <c r="E659" s="3">
        <v>650139.77420709399</v>
      </c>
      <c r="H659" t="s">
        <v>461</v>
      </c>
      <c r="I659" t="s">
        <v>1099</v>
      </c>
      <c r="J659" t="s">
        <v>1319</v>
      </c>
      <c r="K659">
        <v>8.2899999999999991</v>
      </c>
      <c r="L659">
        <v>2.6930000000000001</v>
      </c>
      <c r="M659" s="1">
        <v>100</v>
      </c>
      <c r="N659" s="1" t="s">
        <v>446</v>
      </c>
    </row>
    <row r="660" spans="1:14" x14ac:dyDescent="0.25">
      <c r="A660" t="s">
        <v>1648</v>
      </c>
      <c r="B660" t="s">
        <v>1609</v>
      </c>
      <c r="C660" t="s">
        <v>9</v>
      </c>
      <c r="D660" s="4">
        <v>2.68820665832212E-2</v>
      </c>
      <c r="E660" s="3">
        <v>7186324.8674770799</v>
      </c>
      <c r="F660" s="3">
        <f>E660/7.8</f>
        <v>921323.70095860003</v>
      </c>
      <c r="G660" s="3">
        <f>F660/2</f>
        <v>460661.85047930002</v>
      </c>
      <c r="H660" t="s">
        <v>324</v>
      </c>
      <c r="I660" t="s">
        <v>1037</v>
      </c>
      <c r="J660" t="s">
        <v>1278</v>
      </c>
      <c r="K660">
        <v>13.39</v>
      </c>
      <c r="L660">
        <v>2.5009999999999999</v>
      </c>
      <c r="M660" s="1">
        <v>100</v>
      </c>
      <c r="N660" s="1" t="s">
        <v>446</v>
      </c>
    </row>
    <row r="661" spans="1:14" x14ac:dyDescent="0.25">
      <c r="A661" t="s">
        <v>1648</v>
      </c>
      <c r="B661" t="s">
        <v>1609</v>
      </c>
      <c r="C661" t="s">
        <v>448</v>
      </c>
      <c r="D661" s="4">
        <v>4.9264655201532698E-2</v>
      </c>
      <c r="E661" s="3">
        <v>876291.33164597105</v>
      </c>
      <c r="H661" t="s">
        <v>685</v>
      </c>
      <c r="I661" t="s">
        <v>797</v>
      </c>
      <c r="J661" t="s">
        <v>1279</v>
      </c>
      <c r="K661">
        <v>7.01</v>
      </c>
      <c r="L661">
        <v>2.5009999999999999</v>
      </c>
      <c r="M661" s="1">
        <v>100</v>
      </c>
      <c r="N661" s="1" t="s">
        <v>446</v>
      </c>
    </row>
    <row r="662" spans="1:14" x14ac:dyDescent="0.25">
      <c r="A662" t="s">
        <v>1649</v>
      </c>
      <c r="B662" t="s">
        <v>1609</v>
      </c>
      <c r="C662" t="s">
        <v>9</v>
      </c>
      <c r="D662" s="4">
        <v>3.03217656260239E-2</v>
      </c>
      <c r="E662" s="3">
        <v>3068119.9818169302</v>
      </c>
      <c r="F662" s="3">
        <f>E662/7.8</f>
        <v>393348.71561755519</v>
      </c>
      <c r="G662" s="3">
        <f>F662/2</f>
        <v>196674.3578087776</v>
      </c>
      <c r="H662" t="s">
        <v>124</v>
      </c>
      <c r="I662" t="s">
        <v>1241</v>
      </c>
      <c r="J662" t="s">
        <v>1242</v>
      </c>
      <c r="K662">
        <v>14.66</v>
      </c>
      <c r="L662">
        <v>2.5129999999999999</v>
      </c>
      <c r="M662" s="1">
        <v>100</v>
      </c>
      <c r="N662" s="1" t="s">
        <v>446</v>
      </c>
    </row>
    <row r="663" spans="1:14" x14ac:dyDescent="0.25">
      <c r="A663" t="s">
        <v>1649</v>
      </c>
      <c r="B663" t="s">
        <v>1609</v>
      </c>
      <c r="C663" t="s">
        <v>448</v>
      </c>
      <c r="D663" s="4">
        <v>7.1217640311848407E-2</v>
      </c>
      <c r="E663" s="3">
        <v>390750.92787743802</v>
      </c>
      <c r="H663" t="s">
        <v>124</v>
      </c>
      <c r="I663" t="s">
        <v>1243</v>
      </c>
      <c r="J663" t="s">
        <v>968</v>
      </c>
      <c r="K663">
        <v>7.01</v>
      </c>
      <c r="L663">
        <v>2.5129999999999999</v>
      </c>
      <c r="M663" s="1">
        <v>100</v>
      </c>
      <c r="N663" s="1" t="s">
        <v>446</v>
      </c>
    </row>
    <row r="664" spans="1:14" x14ac:dyDescent="0.25">
      <c r="A664" t="s">
        <v>1650</v>
      </c>
      <c r="B664" t="s">
        <v>1609</v>
      </c>
      <c r="C664" t="s">
        <v>9</v>
      </c>
      <c r="D664" s="4">
        <v>4.4808315324453299E-2</v>
      </c>
      <c r="E664" s="3">
        <v>1793261.7824178301</v>
      </c>
      <c r="F664" s="3">
        <f>E664/7.8</f>
        <v>229905.35672023462</v>
      </c>
      <c r="G664" s="3">
        <f>F664/2</f>
        <v>114952.67836011731</v>
      </c>
      <c r="H664" t="s">
        <v>516</v>
      </c>
      <c r="I664" t="s">
        <v>363</v>
      </c>
      <c r="J664" t="s">
        <v>954</v>
      </c>
      <c r="K664">
        <v>15.94</v>
      </c>
      <c r="L664">
        <v>2.5209999999999999</v>
      </c>
      <c r="M664" s="1">
        <v>10</v>
      </c>
      <c r="N664" s="1" t="s">
        <v>446</v>
      </c>
    </row>
    <row r="665" spans="1:14" x14ac:dyDescent="0.25">
      <c r="A665" t="s">
        <v>1650</v>
      </c>
      <c r="B665" t="s">
        <v>1609</v>
      </c>
      <c r="C665" t="s">
        <v>448</v>
      </c>
      <c r="D665" s="4">
        <v>3.3400122795004497E-2</v>
      </c>
      <c r="E665" s="3">
        <v>225296.45759107801</v>
      </c>
      <c r="H665" t="s">
        <v>516</v>
      </c>
      <c r="I665" t="s">
        <v>1226</v>
      </c>
      <c r="J665" t="s">
        <v>1227</v>
      </c>
      <c r="K665">
        <v>7.01</v>
      </c>
      <c r="L665">
        <v>2.5209999999999999</v>
      </c>
      <c r="M665" s="1">
        <v>10</v>
      </c>
      <c r="N665" s="1" t="s">
        <v>446</v>
      </c>
    </row>
    <row r="666" spans="1:14" x14ac:dyDescent="0.25">
      <c r="A666" t="s">
        <v>1652</v>
      </c>
      <c r="B666" t="s">
        <v>1609</v>
      </c>
      <c r="C666" t="s">
        <v>9</v>
      </c>
      <c r="D666" s="4">
        <v>2.87374300270881E-2</v>
      </c>
      <c r="E666" s="3">
        <v>959012.72990366502</v>
      </c>
      <c r="F666" s="3">
        <f>E666/7.8</f>
        <v>122950.34998764936</v>
      </c>
      <c r="G666" s="3">
        <f>F666/2</f>
        <v>61475.174993824679</v>
      </c>
      <c r="H666" t="s">
        <v>634</v>
      </c>
      <c r="I666" t="s">
        <v>1128</v>
      </c>
      <c r="J666" t="s">
        <v>1129</v>
      </c>
      <c r="K666">
        <v>13.39</v>
      </c>
      <c r="L666">
        <v>2.6160000000000001</v>
      </c>
      <c r="M666" s="1">
        <v>10</v>
      </c>
      <c r="N666" s="1" t="s">
        <v>446</v>
      </c>
    </row>
    <row r="667" spans="1:14" x14ac:dyDescent="0.25">
      <c r="A667" t="s">
        <v>1652</v>
      </c>
      <c r="B667" t="s">
        <v>1609</v>
      </c>
      <c r="C667" t="s">
        <v>448</v>
      </c>
      <c r="D667" s="4">
        <v>4.1168730793729298E-2</v>
      </c>
      <c r="E667" s="3">
        <v>127421.952351974</v>
      </c>
      <c r="H667" t="s">
        <v>781</v>
      </c>
      <c r="I667" t="s">
        <v>1130</v>
      </c>
      <c r="J667" t="s">
        <v>1131</v>
      </c>
      <c r="K667">
        <v>7.01</v>
      </c>
      <c r="L667">
        <v>2.6160000000000001</v>
      </c>
      <c r="M667" s="1">
        <v>10</v>
      </c>
      <c r="N667" s="1" t="s">
        <v>446</v>
      </c>
    </row>
    <row r="668" spans="1:14" x14ac:dyDescent="0.25">
      <c r="A668" t="s">
        <v>1653</v>
      </c>
      <c r="B668" t="s">
        <v>1609</v>
      </c>
      <c r="C668" t="s">
        <v>9</v>
      </c>
      <c r="D668" s="4">
        <v>2.8597087295113E-2</v>
      </c>
      <c r="E668" s="3">
        <v>925332.79495416605</v>
      </c>
      <c r="F668" s="3">
        <f>E668/7.8</f>
        <v>118632.40960950847</v>
      </c>
      <c r="G668" s="3">
        <f>F668/2</f>
        <v>59316.204804754234</v>
      </c>
      <c r="H668" t="s">
        <v>280</v>
      </c>
      <c r="I668" t="s">
        <v>296</v>
      </c>
      <c r="J668" t="s">
        <v>1121</v>
      </c>
      <c r="K668">
        <v>14.66</v>
      </c>
      <c r="L668">
        <v>2.673</v>
      </c>
      <c r="M668" s="1">
        <v>10</v>
      </c>
      <c r="N668" s="1" t="s">
        <v>446</v>
      </c>
    </row>
    <row r="669" spans="1:14" x14ac:dyDescent="0.25">
      <c r="A669" t="s">
        <v>1653</v>
      </c>
      <c r="B669" t="s">
        <v>1609</v>
      </c>
      <c r="C669" t="s">
        <v>448</v>
      </c>
      <c r="D669" s="4">
        <v>4.3398201797655203E-2</v>
      </c>
      <c r="E669" s="3">
        <v>110077.587080927</v>
      </c>
      <c r="H669" t="s">
        <v>622</v>
      </c>
      <c r="I669" t="s">
        <v>1122</v>
      </c>
      <c r="J669" t="s">
        <v>1120</v>
      </c>
      <c r="K669">
        <v>7.01</v>
      </c>
      <c r="L669">
        <v>2.673</v>
      </c>
      <c r="M669" s="1">
        <v>10</v>
      </c>
      <c r="N669" s="1" t="s">
        <v>446</v>
      </c>
    </row>
    <row r="670" spans="1:14" x14ac:dyDescent="0.25">
      <c r="A670" t="s">
        <v>1676</v>
      </c>
      <c r="B670" t="s">
        <v>1609</v>
      </c>
      <c r="C670" t="s">
        <v>9</v>
      </c>
      <c r="D670" s="4">
        <v>3.0030664123041E-2</v>
      </c>
      <c r="E670" s="3">
        <v>31998.257275397798</v>
      </c>
      <c r="F670" s="3">
        <f>E670/7.8</f>
        <v>4102.3406763330513</v>
      </c>
      <c r="G670" s="3">
        <f>F670/2</f>
        <v>2051.1703381665257</v>
      </c>
      <c r="H670" t="s">
        <v>27</v>
      </c>
      <c r="I670" t="s">
        <v>1230</v>
      </c>
      <c r="J670" t="s">
        <v>1231</v>
      </c>
      <c r="K670">
        <v>12.11</v>
      </c>
      <c r="L670">
        <v>2.4860000000000002</v>
      </c>
      <c r="M670" s="1" t="s">
        <v>20</v>
      </c>
      <c r="N670" s="1" t="s">
        <v>446</v>
      </c>
    </row>
    <row r="671" spans="1:14" x14ac:dyDescent="0.25">
      <c r="A671" t="s">
        <v>1676</v>
      </c>
      <c r="B671" t="s">
        <v>1609</v>
      </c>
      <c r="C671" t="s">
        <v>448</v>
      </c>
      <c r="D671" s="4">
        <v>6.7458545628292996E-2</v>
      </c>
      <c r="E671" s="3">
        <v>4421.25640680786</v>
      </c>
      <c r="H671" t="s">
        <v>27</v>
      </c>
      <c r="I671" t="s">
        <v>1232</v>
      </c>
      <c r="J671" t="s">
        <v>1233</v>
      </c>
      <c r="K671">
        <v>7.01</v>
      </c>
      <c r="L671">
        <v>2.4860000000000002</v>
      </c>
      <c r="M671" s="1" t="s">
        <v>20</v>
      </c>
      <c r="N671" s="1" t="s">
        <v>446</v>
      </c>
    </row>
    <row r="672" spans="1:14" x14ac:dyDescent="0.25">
      <c r="A672" t="s">
        <v>1677</v>
      </c>
      <c r="B672" t="s">
        <v>1609</v>
      </c>
      <c r="C672" t="s">
        <v>9</v>
      </c>
      <c r="D672" s="4">
        <v>2.8124942805596999E-2</v>
      </c>
      <c r="E672" s="3">
        <v>90620.646335556696</v>
      </c>
      <c r="F672" s="3">
        <f>E672/7.8</f>
        <v>11618.031581481628</v>
      </c>
      <c r="G672" s="3">
        <f>F672/2</f>
        <v>5809.0157907408138</v>
      </c>
      <c r="H672" t="s">
        <v>893</v>
      </c>
      <c r="I672" t="s">
        <v>1244</v>
      </c>
      <c r="J672" t="s">
        <v>884</v>
      </c>
      <c r="K672">
        <v>12.11</v>
      </c>
      <c r="L672">
        <v>2.5960000000000001</v>
      </c>
      <c r="M672" s="1" t="s">
        <v>20</v>
      </c>
      <c r="N672" s="1" t="s">
        <v>446</v>
      </c>
    </row>
    <row r="673" spans="1:14" x14ac:dyDescent="0.25">
      <c r="A673" t="s">
        <v>1677</v>
      </c>
      <c r="B673" t="s">
        <v>1609</v>
      </c>
      <c r="C673" t="s">
        <v>448</v>
      </c>
      <c r="D673" s="4">
        <v>4.47152130957413E-2</v>
      </c>
      <c r="E673" s="3">
        <v>10556.135127297401</v>
      </c>
      <c r="H673" t="s">
        <v>264</v>
      </c>
      <c r="I673" t="s">
        <v>1245</v>
      </c>
      <c r="J673" t="s">
        <v>1246</v>
      </c>
      <c r="K673">
        <v>8.2899999999999991</v>
      </c>
      <c r="L673">
        <v>2.5960000000000001</v>
      </c>
      <c r="M673" s="1" t="s">
        <v>20</v>
      </c>
      <c r="N673" s="1" t="s">
        <v>446</v>
      </c>
    </row>
    <row r="674" spans="1:14" x14ac:dyDescent="0.25">
      <c r="A674" t="s">
        <v>1678</v>
      </c>
      <c r="B674" t="s">
        <v>1609</v>
      </c>
      <c r="C674" t="s">
        <v>9</v>
      </c>
      <c r="D674" s="4">
        <v>2.6791455128753201E-2</v>
      </c>
      <c r="E674" s="3">
        <v>65837.5326553833</v>
      </c>
      <c r="F674" s="3">
        <f>E674/7.8</f>
        <v>8440.7093147927317</v>
      </c>
      <c r="G674" s="3">
        <f>F674/2</f>
        <v>4220.3546573963658</v>
      </c>
      <c r="H674" t="s">
        <v>98</v>
      </c>
      <c r="I674" t="s">
        <v>1282</v>
      </c>
      <c r="J674" t="s">
        <v>748</v>
      </c>
      <c r="K674">
        <v>10.84</v>
      </c>
      <c r="L674">
        <v>2.528</v>
      </c>
      <c r="M674" s="1" t="s">
        <v>20</v>
      </c>
      <c r="N674" s="1" t="s">
        <v>446</v>
      </c>
    </row>
    <row r="675" spans="1:14" x14ac:dyDescent="0.25">
      <c r="A675" t="s">
        <v>1678</v>
      </c>
      <c r="B675" t="s">
        <v>1609</v>
      </c>
      <c r="C675" t="s">
        <v>448</v>
      </c>
      <c r="D675" s="4">
        <v>4.8780001955176899E-2</v>
      </c>
      <c r="E675" s="3">
        <v>8852.4968897611197</v>
      </c>
      <c r="H675" t="s">
        <v>358</v>
      </c>
      <c r="I675" t="s">
        <v>1283</v>
      </c>
      <c r="J675" t="s">
        <v>1284</v>
      </c>
      <c r="K675">
        <v>7.01</v>
      </c>
      <c r="L675">
        <v>2.528</v>
      </c>
      <c r="M675" s="1" t="s">
        <v>20</v>
      </c>
      <c r="N675" s="1" t="s">
        <v>446</v>
      </c>
    </row>
    <row r="676" spans="1:14" x14ac:dyDescent="0.25">
      <c r="A676" t="s">
        <v>1679</v>
      </c>
      <c r="B676" t="s">
        <v>1609</v>
      </c>
      <c r="C676" t="s">
        <v>9</v>
      </c>
      <c r="D676" s="4">
        <v>3.3048609211486002E-2</v>
      </c>
      <c r="E676" s="3">
        <v>1279637.3404298199</v>
      </c>
      <c r="F676" s="3">
        <f>E676/7.8</f>
        <v>164056.06928587434</v>
      </c>
      <c r="G676" s="3">
        <f>F676/2</f>
        <v>82028.034642937171</v>
      </c>
      <c r="H676" t="s">
        <v>324</v>
      </c>
      <c r="I676" t="s">
        <v>1324</v>
      </c>
      <c r="J676" t="s">
        <v>1325</v>
      </c>
      <c r="K676">
        <v>12.75</v>
      </c>
      <c r="L676">
        <v>2.5830000000000002</v>
      </c>
      <c r="M676" s="1">
        <v>10</v>
      </c>
      <c r="N676" s="1" t="s">
        <v>446</v>
      </c>
    </row>
    <row r="677" spans="1:14" x14ac:dyDescent="0.25">
      <c r="A677" t="s">
        <v>1679</v>
      </c>
      <c r="B677" t="s">
        <v>1609</v>
      </c>
      <c r="C677" t="s">
        <v>448</v>
      </c>
      <c r="D677" s="4">
        <v>3.9167584513440497E-2</v>
      </c>
      <c r="E677" s="3">
        <v>146030.13387928999</v>
      </c>
      <c r="H677" t="s">
        <v>228</v>
      </c>
      <c r="I677" t="s">
        <v>1326</v>
      </c>
      <c r="J677" t="s">
        <v>1327</v>
      </c>
      <c r="K677">
        <v>7.01</v>
      </c>
      <c r="L677">
        <v>2.5830000000000002</v>
      </c>
      <c r="M677" s="1">
        <v>10</v>
      </c>
      <c r="N677" s="1" t="s">
        <v>446</v>
      </c>
    </row>
    <row r="678" spans="1:14" x14ac:dyDescent="0.25">
      <c r="A678" t="s">
        <v>1700</v>
      </c>
      <c r="B678" t="s">
        <v>1609</v>
      </c>
      <c r="C678" t="s">
        <v>9</v>
      </c>
      <c r="D678" s="4">
        <v>2.6818781373951699E-2</v>
      </c>
      <c r="E678" s="3">
        <v>57891.123261663299</v>
      </c>
      <c r="F678" s="3">
        <f>E678/7.8</f>
        <v>7421.9388797004231</v>
      </c>
      <c r="G678" s="3">
        <f>F678/2</f>
        <v>3710.9694398502115</v>
      </c>
      <c r="H678" t="s">
        <v>76</v>
      </c>
      <c r="I678" t="s">
        <v>1132</v>
      </c>
      <c r="J678" t="s">
        <v>1133</v>
      </c>
      <c r="K678">
        <v>15.3</v>
      </c>
      <c r="L678">
        <v>2.6880000000000002</v>
      </c>
      <c r="M678" s="1" t="s">
        <v>20</v>
      </c>
      <c r="N678" s="1" t="s">
        <v>446</v>
      </c>
    </row>
    <row r="679" spans="1:14" x14ac:dyDescent="0.25">
      <c r="A679" t="s">
        <v>1700</v>
      </c>
      <c r="B679" t="s">
        <v>1609</v>
      </c>
      <c r="C679" t="s">
        <v>448</v>
      </c>
      <c r="D679" s="4">
        <v>5.2201069970667799E-2</v>
      </c>
      <c r="E679" s="3">
        <v>7157.0344191261202</v>
      </c>
      <c r="H679" t="s">
        <v>407</v>
      </c>
      <c r="I679" t="s">
        <v>1134</v>
      </c>
      <c r="J679" t="s">
        <v>405</v>
      </c>
      <c r="K679">
        <v>7.01</v>
      </c>
      <c r="L679">
        <v>2.6880000000000002</v>
      </c>
      <c r="M679" s="1" t="s">
        <v>20</v>
      </c>
      <c r="N679" s="1" t="s">
        <v>446</v>
      </c>
    </row>
    <row r="680" spans="1:14" x14ac:dyDescent="0.25">
      <c r="A680" t="s">
        <v>1710</v>
      </c>
      <c r="B680" t="s">
        <v>1609</v>
      </c>
      <c r="C680" t="s">
        <v>9</v>
      </c>
      <c r="D680" s="4">
        <v>3.4081913685348603E-2</v>
      </c>
      <c r="E680" s="3">
        <v>135233.53673293299</v>
      </c>
      <c r="F680" s="3">
        <f>E680/7.8</f>
        <v>17337.632914478589</v>
      </c>
      <c r="G680" s="3">
        <f>F680/2</f>
        <v>8668.8164572392943</v>
      </c>
      <c r="H680" t="s">
        <v>71</v>
      </c>
      <c r="I680" t="s">
        <v>1328</v>
      </c>
      <c r="J680" t="s">
        <v>1329</v>
      </c>
      <c r="K680">
        <v>12.75</v>
      </c>
      <c r="L680">
        <v>2.548</v>
      </c>
      <c r="M680" s="1" t="s">
        <v>20</v>
      </c>
      <c r="N680" s="1" t="s">
        <v>446</v>
      </c>
    </row>
    <row r="681" spans="1:14" x14ac:dyDescent="0.25">
      <c r="A681" t="s">
        <v>1710</v>
      </c>
      <c r="B681" t="s">
        <v>1609</v>
      </c>
      <c r="C681" t="s">
        <v>448</v>
      </c>
      <c r="D681" s="4">
        <v>3.87181603490157E-2</v>
      </c>
      <c r="E681" s="3">
        <v>15259.833169568699</v>
      </c>
      <c r="H681" t="s">
        <v>85</v>
      </c>
      <c r="I681" t="s">
        <v>1330</v>
      </c>
      <c r="J681" t="s">
        <v>1331</v>
      </c>
      <c r="K681">
        <v>7.01</v>
      </c>
      <c r="L681">
        <v>2.548</v>
      </c>
      <c r="M681" s="1" t="s">
        <v>20</v>
      </c>
      <c r="N681" s="1" t="s">
        <v>446</v>
      </c>
    </row>
    <row r="682" spans="1:14" x14ac:dyDescent="0.25">
      <c r="A682" t="s">
        <v>1712</v>
      </c>
      <c r="B682" t="s">
        <v>1609</v>
      </c>
      <c r="C682" t="s">
        <v>9</v>
      </c>
      <c r="D682" s="4">
        <v>2.7183579279757598E-2</v>
      </c>
      <c r="E682" s="3">
        <v>74304.9934394749</v>
      </c>
      <c r="F682" s="3">
        <f>E682/7.8</f>
        <v>9526.2812101890904</v>
      </c>
      <c r="G682" s="3">
        <f>F682/2</f>
        <v>4763.1406050945452</v>
      </c>
      <c r="H682" t="s">
        <v>82</v>
      </c>
      <c r="I682" t="s">
        <v>1247</v>
      </c>
      <c r="J682" t="s">
        <v>1248</v>
      </c>
      <c r="K682">
        <v>14.66</v>
      </c>
      <c r="L682">
        <v>2.677</v>
      </c>
      <c r="M682" s="1" t="s">
        <v>20</v>
      </c>
      <c r="N682" s="1" t="s">
        <v>446</v>
      </c>
    </row>
    <row r="683" spans="1:14" x14ac:dyDescent="0.25">
      <c r="A683" t="s">
        <v>1712</v>
      </c>
      <c r="B683" t="s">
        <v>1609</v>
      </c>
      <c r="C683" t="s">
        <v>448</v>
      </c>
      <c r="D683" s="4">
        <v>5.0760134595064697E-2</v>
      </c>
      <c r="E683" s="3">
        <v>7639.5981035465402</v>
      </c>
      <c r="H683" t="s">
        <v>149</v>
      </c>
      <c r="I683" t="s">
        <v>1249</v>
      </c>
      <c r="J683" t="s">
        <v>1250</v>
      </c>
      <c r="K683">
        <v>7.01</v>
      </c>
      <c r="L683">
        <v>2.677</v>
      </c>
      <c r="M683" s="1" t="s">
        <v>20</v>
      </c>
      <c r="N683" s="1" t="s">
        <v>446</v>
      </c>
    </row>
    <row r="684" spans="1:14" x14ac:dyDescent="0.25">
      <c r="A684" t="s">
        <v>1713</v>
      </c>
      <c r="B684" t="s">
        <v>1609</v>
      </c>
      <c r="C684" t="s">
        <v>9</v>
      </c>
      <c r="D684" s="4">
        <v>2.8061799995144701E-2</v>
      </c>
      <c r="E684" s="3">
        <v>951853.91193014605</v>
      </c>
      <c r="F684" s="3">
        <f>E684/7.8</f>
        <v>122032.55281155719</v>
      </c>
      <c r="G684" s="3">
        <f>F684/2</f>
        <v>61016.276405778597</v>
      </c>
      <c r="H684" t="s">
        <v>71</v>
      </c>
      <c r="I684" t="s">
        <v>404</v>
      </c>
      <c r="J684" t="s">
        <v>1234</v>
      </c>
      <c r="K684">
        <v>14.66</v>
      </c>
      <c r="L684">
        <v>2.4489999999999998</v>
      </c>
      <c r="M684" s="1">
        <v>10</v>
      </c>
      <c r="N684" s="1" t="s">
        <v>446</v>
      </c>
    </row>
    <row r="685" spans="1:14" x14ac:dyDescent="0.25">
      <c r="A685" t="s">
        <v>1713</v>
      </c>
      <c r="B685" t="s">
        <v>1609</v>
      </c>
      <c r="C685" t="s">
        <v>448</v>
      </c>
      <c r="D685" s="4">
        <v>4.41987119365898E-2</v>
      </c>
      <c r="E685" s="3">
        <v>114481.730931568</v>
      </c>
      <c r="H685" t="s">
        <v>149</v>
      </c>
      <c r="I685" t="s">
        <v>1235</v>
      </c>
      <c r="J685" t="s">
        <v>1236</v>
      </c>
      <c r="K685">
        <v>7.01</v>
      </c>
      <c r="L685">
        <v>2.4489999999999998</v>
      </c>
      <c r="M685" s="1">
        <v>10</v>
      </c>
      <c r="N685" s="1" t="s">
        <v>446</v>
      </c>
    </row>
    <row r="686" spans="1:14" x14ac:dyDescent="0.25">
      <c r="A686" t="s">
        <v>1719</v>
      </c>
      <c r="B686" t="s">
        <v>1609</v>
      </c>
      <c r="C686" t="s">
        <v>9</v>
      </c>
      <c r="D686" s="4">
        <v>4.9132730682377598E-2</v>
      </c>
      <c r="E686" s="3">
        <v>1888259.25340874</v>
      </c>
      <c r="F686" s="3">
        <f>E686/7.8</f>
        <v>242084.51966778719</v>
      </c>
      <c r="G686" s="3">
        <f>F686/2</f>
        <v>121042.25983389359</v>
      </c>
      <c r="H686" t="s">
        <v>240</v>
      </c>
      <c r="I686" t="s">
        <v>781</v>
      </c>
      <c r="J686" t="s">
        <v>1167</v>
      </c>
      <c r="K686">
        <v>12.11</v>
      </c>
      <c r="L686">
        <v>2.5590000000000002</v>
      </c>
      <c r="M686" s="1">
        <v>10</v>
      </c>
      <c r="N686" s="1" t="s">
        <v>446</v>
      </c>
    </row>
    <row r="687" spans="1:14" x14ac:dyDescent="0.25">
      <c r="A687" t="s">
        <v>1719</v>
      </c>
      <c r="B687" t="s">
        <v>1609</v>
      </c>
      <c r="C687" t="s">
        <v>448</v>
      </c>
      <c r="D687" s="4">
        <v>3.1850872910957097E-2</v>
      </c>
      <c r="E687" s="3">
        <v>255638.96048342701</v>
      </c>
      <c r="H687" t="s">
        <v>240</v>
      </c>
      <c r="I687" t="s">
        <v>1168</v>
      </c>
      <c r="J687" t="s">
        <v>1169</v>
      </c>
      <c r="K687">
        <v>7.01</v>
      </c>
      <c r="L687">
        <v>2.5590000000000002</v>
      </c>
      <c r="M687" s="1">
        <v>10</v>
      </c>
      <c r="N687" s="1" t="s">
        <v>446</v>
      </c>
    </row>
    <row r="688" spans="1:14" x14ac:dyDescent="0.25">
      <c r="A688" t="s">
        <v>1723</v>
      </c>
      <c r="B688" t="s">
        <v>1609</v>
      </c>
      <c r="C688" t="s">
        <v>9</v>
      </c>
      <c r="D688" s="4">
        <v>5.3895318463053503E-2</v>
      </c>
      <c r="E688" s="3">
        <v>6598.2919197451902</v>
      </c>
      <c r="F688" s="3">
        <f>E688/7.8</f>
        <v>845.93486150579361</v>
      </c>
      <c r="G688" s="3">
        <f>F688/2</f>
        <v>422.9674307528968</v>
      </c>
      <c r="H688" t="s">
        <v>541</v>
      </c>
      <c r="I688" t="s">
        <v>1135</v>
      </c>
      <c r="J688" t="s">
        <v>795</v>
      </c>
      <c r="K688">
        <v>12.75</v>
      </c>
      <c r="L688">
        <v>2.7269999999999999</v>
      </c>
      <c r="M688" s="1" t="s">
        <v>20</v>
      </c>
      <c r="N688" s="1" t="s">
        <v>446</v>
      </c>
    </row>
    <row r="689" spans="1:14" x14ac:dyDescent="0.25">
      <c r="A689" t="s">
        <v>1723</v>
      </c>
      <c r="B689" t="s">
        <v>1609</v>
      </c>
      <c r="C689" t="s">
        <v>448</v>
      </c>
      <c r="D689" s="4">
        <v>0.25960437604966202</v>
      </c>
      <c r="E689" s="3">
        <v>260.29267069916102</v>
      </c>
      <c r="H689" t="s">
        <v>111</v>
      </c>
      <c r="I689" t="s">
        <v>1136</v>
      </c>
      <c r="J689" t="s">
        <v>508</v>
      </c>
      <c r="K689">
        <v>8.2899999999999991</v>
      </c>
      <c r="L689">
        <v>2.7269999999999999</v>
      </c>
      <c r="M689" s="1" t="s">
        <v>20</v>
      </c>
      <c r="N689" s="1" t="s">
        <v>446</v>
      </c>
    </row>
    <row r="690" spans="1:14" x14ac:dyDescent="0.25">
      <c r="A690" t="s">
        <v>1724</v>
      </c>
      <c r="B690" t="s">
        <v>1609</v>
      </c>
      <c r="C690" t="s">
        <v>9</v>
      </c>
      <c r="D690" s="4">
        <v>3.6635213920759399E-2</v>
      </c>
      <c r="E690" s="3">
        <v>17027.845068036499</v>
      </c>
      <c r="F690" s="3">
        <f>E690/7.8</f>
        <v>2183.0570600046794</v>
      </c>
      <c r="G690" s="3">
        <f>F690/2</f>
        <v>1091.5285300023397</v>
      </c>
      <c r="H690" t="s">
        <v>706</v>
      </c>
      <c r="I690" t="s">
        <v>1123</v>
      </c>
      <c r="J690" t="s">
        <v>113</v>
      </c>
      <c r="K690">
        <v>15.94</v>
      </c>
      <c r="L690">
        <v>2.6339999999999999</v>
      </c>
      <c r="M690" s="1" t="s">
        <v>20</v>
      </c>
      <c r="N690" s="1" t="s">
        <v>446</v>
      </c>
    </row>
    <row r="691" spans="1:14" x14ac:dyDescent="0.25">
      <c r="A691" t="s">
        <v>1724</v>
      </c>
      <c r="B691" t="s">
        <v>1609</v>
      </c>
      <c r="C691" t="s">
        <v>448</v>
      </c>
      <c r="D691" s="4">
        <v>0.16276874161806201</v>
      </c>
      <c r="E691" s="3">
        <v>688.48053670960803</v>
      </c>
      <c r="H691" t="s">
        <v>505</v>
      </c>
      <c r="I691" t="s">
        <v>1124</v>
      </c>
      <c r="J691" t="s">
        <v>1125</v>
      </c>
      <c r="K691">
        <v>7.65</v>
      </c>
      <c r="L691">
        <v>2.6339999999999999</v>
      </c>
      <c r="M691" s="1" t="s">
        <v>20</v>
      </c>
      <c r="N691" s="1" t="s">
        <v>446</v>
      </c>
    </row>
    <row r="692" spans="1:14" x14ac:dyDescent="0.25">
      <c r="A692" t="s">
        <v>1727</v>
      </c>
      <c r="B692" t="s">
        <v>1609</v>
      </c>
      <c r="C692" t="s">
        <v>9</v>
      </c>
      <c r="D692" s="4">
        <v>4.2829199083222497E-2</v>
      </c>
      <c r="E692" s="3">
        <v>1754437.13673764</v>
      </c>
      <c r="F692" s="3">
        <f>E692/7.8</f>
        <v>224927.83804328719</v>
      </c>
      <c r="G692" s="3">
        <f>F692/2</f>
        <v>112463.9190216436</v>
      </c>
      <c r="H692" t="s">
        <v>62</v>
      </c>
      <c r="I692" t="s">
        <v>72</v>
      </c>
      <c r="J692" t="s">
        <v>224</v>
      </c>
      <c r="K692">
        <v>16.579999999999998</v>
      </c>
      <c r="L692">
        <v>2.4830000000000001</v>
      </c>
      <c r="M692" s="1">
        <v>10</v>
      </c>
      <c r="N692" s="1" t="s">
        <v>446</v>
      </c>
    </row>
    <row r="693" spans="1:14" x14ac:dyDescent="0.25">
      <c r="A693" t="s">
        <v>1727</v>
      </c>
      <c r="B693" t="s">
        <v>1609</v>
      </c>
      <c r="C693" t="s">
        <v>448</v>
      </c>
      <c r="D693" s="4">
        <v>3.39744483326739E-2</v>
      </c>
      <c r="E693" s="3">
        <v>218743.08884477199</v>
      </c>
      <c r="H693" t="s">
        <v>62</v>
      </c>
      <c r="I693" t="s">
        <v>1228</v>
      </c>
      <c r="J693" t="s">
        <v>1229</v>
      </c>
      <c r="K693">
        <v>7.01</v>
      </c>
      <c r="L693">
        <v>2.4830000000000001</v>
      </c>
      <c r="M693" s="1">
        <v>10</v>
      </c>
      <c r="N693" s="1" t="s">
        <v>446</v>
      </c>
    </row>
    <row r="694" spans="1:14" x14ac:dyDescent="0.25">
      <c r="A694" t="s">
        <v>1731</v>
      </c>
      <c r="B694" t="s">
        <v>1609</v>
      </c>
      <c r="C694" t="s">
        <v>9</v>
      </c>
      <c r="D694" s="4">
        <v>2.7124546846758298E-2</v>
      </c>
      <c r="E694" s="3">
        <v>7854774.4989453396</v>
      </c>
      <c r="F694" s="3">
        <f>E694/7.8</f>
        <v>1007022.371659659</v>
      </c>
      <c r="G694" s="3">
        <f>F694/2</f>
        <v>503511.18582982948</v>
      </c>
      <c r="H694" t="s">
        <v>207</v>
      </c>
      <c r="I694" t="s">
        <v>431</v>
      </c>
      <c r="J694" t="s">
        <v>1280</v>
      </c>
      <c r="K694">
        <v>14.66</v>
      </c>
      <c r="L694">
        <v>2.5110000000000001</v>
      </c>
      <c r="M694" s="1">
        <v>100</v>
      </c>
      <c r="N694" s="1" t="s">
        <v>446</v>
      </c>
    </row>
    <row r="695" spans="1:14" x14ac:dyDescent="0.25">
      <c r="A695" t="s">
        <v>1731</v>
      </c>
      <c r="B695" t="s">
        <v>1609</v>
      </c>
      <c r="C695" t="s">
        <v>448</v>
      </c>
      <c r="D695" s="4">
        <v>4.5237669154848399E-2</v>
      </c>
      <c r="E695" s="3">
        <v>1061865.97409285</v>
      </c>
      <c r="H695" t="s">
        <v>217</v>
      </c>
      <c r="I695" t="s">
        <v>382</v>
      </c>
      <c r="J695" t="s">
        <v>1281</v>
      </c>
      <c r="K695">
        <v>7.01</v>
      </c>
      <c r="L695">
        <v>2.5110000000000001</v>
      </c>
      <c r="M695" s="1">
        <v>100</v>
      </c>
      <c r="N695" s="1" t="s">
        <v>446</v>
      </c>
    </row>
    <row r="696" spans="1:14" x14ac:dyDescent="0.25">
      <c r="A696" t="s">
        <v>1733</v>
      </c>
      <c r="B696" t="s">
        <v>1609</v>
      </c>
      <c r="C696" t="s">
        <v>9</v>
      </c>
      <c r="D696" s="4">
        <v>2.9848600478421701E-2</v>
      </c>
      <c r="E696" s="3">
        <v>1061236.869623</v>
      </c>
      <c r="F696" s="3">
        <f>E696/7.8</f>
        <v>136056.00892602565</v>
      </c>
      <c r="G696" s="3">
        <f>F696/2</f>
        <v>68028.004463012825</v>
      </c>
      <c r="H696" t="s">
        <v>91</v>
      </c>
      <c r="I696" t="s">
        <v>1320</v>
      </c>
      <c r="J696" t="s">
        <v>438</v>
      </c>
      <c r="K696">
        <v>13.39</v>
      </c>
      <c r="L696">
        <v>2.601</v>
      </c>
      <c r="M696" s="1">
        <v>10</v>
      </c>
      <c r="N696" s="1" t="s">
        <v>446</v>
      </c>
    </row>
    <row r="697" spans="1:14" x14ac:dyDescent="0.25">
      <c r="A697" t="s">
        <v>1733</v>
      </c>
      <c r="B697" t="s">
        <v>1609</v>
      </c>
      <c r="C697" t="s">
        <v>448</v>
      </c>
      <c r="D697" s="4">
        <v>4.1636040458437502E-2</v>
      </c>
      <c r="E697" s="3">
        <v>125066.680791311</v>
      </c>
      <c r="H697" t="s">
        <v>1321</v>
      </c>
      <c r="I697" t="s">
        <v>1322</v>
      </c>
      <c r="J697" t="s">
        <v>1323</v>
      </c>
      <c r="K697">
        <v>7.01</v>
      </c>
      <c r="L697">
        <v>2.601</v>
      </c>
      <c r="M697" s="1">
        <v>10</v>
      </c>
      <c r="N697" s="1" t="s">
        <v>446</v>
      </c>
    </row>
    <row r="698" spans="1:14" x14ac:dyDescent="0.25">
      <c r="A698" t="s">
        <v>1749</v>
      </c>
      <c r="B698" t="s">
        <v>1609</v>
      </c>
      <c r="C698" t="s">
        <v>9</v>
      </c>
      <c r="D698" s="4">
        <v>3.1650408429499503E-2</v>
      </c>
      <c r="E698" s="3">
        <v>2673695.32393874</v>
      </c>
      <c r="F698" s="3">
        <f>E698/7.8</f>
        <v>342781.45178701793</v>
      </c>
      <c r="G698" s="3">
        <f>F698/2</f>
        <v>171390.72589350896</v>
      </c>
      <c r="H698" t="s">
        <v>324</v>
      </c>
      <c r="I698" t="s">
        <v>1210</v>
      </c>
      <c r="J698" t="s">
        <v>1211</v>
      </c>
      <c r="K698">
        <v>12.11</v>
      </c>
      <c r="L698">
        <v>2.5019999999999998</v>
      </c>
      <c r="M698" s="1">
        <v>100</v>
      </c>
      <c r="N698" s="1" t="s">
        <v>446</v>
      </c>
    </row>
    <row r="699" spans="1:14" x14ac:dyDescent="0.25">
      <c r="A699" t="s">
        <v>1749</v>
      </c>
      <c r="B699" t="s">
        <v>1609</v>
      </c>
      <c r="C699" t="s">
        <v>448</v>
      </c>
      <c r="D699" s="4">
        <v>7.4801788378764195E-2</v>
      </c>
      <c r="E699" s="3">
        <v>354063.03864890599</v>
      </c>
      <c r="H699" t="s">
        <v>124</v>
      </c>
      <c r="I699" t="s">
        <v>1212</v>
      </c>
      <c r="J699" t="s">
        <v>1213</v>
      </c>
      <c r="K699">
        <v>7.01</v>
      </c>
      <c r="L699">
        <v>2.5019999999999998</v>
      </c>
      <c r="M699" s="1">
        <v>100</v>
      </c>
      <c r="N699" s="1" t="s">
        <v>446</v>
      </c>
    </row>
    <row r="700" spans="1:14" x14ac:dyDescent="0.25">
      <c r="A700" t="s">
        <v>1750</v>
      </c>
      <c r="B700" t="s">
        <v>1609</v>
      </c>
      <c r="C700" t="s">
        <v>9</v>
      </c>
      <c r="D700" s="4">
        <v>2.68596792340433E-2</v>
      </c>
      <c r="E700" s="3">
        <v>587915.43569892703</v>
      </c>
      <c r="F700" s="3">
        <f>E700/7.8</f>
        <v>75373.773807554753</v>
      </c>
      <c r="G700" s="3">
        <f>F700/2</f>
        <v>37686.886903777377</v>
      </c>
      <c r="H700" t="s">
        <v>130</v>
      </c>
      <c r="I700" t="s">
        <v>1251</v>
      </c>
      <c r="J700" t="s">
        <v>1252</v>
      </c>
      <c r="K700">
        <v>14.66</v>
      </c>
      <c r="L700">
        <v>2.5350000000000001</v>
      </c>
      <c r="M700" s="1">
        <v>10</v>
      </c>
      <c r="N700" s="1" t="s">
        <v>446</v>
      </c>
    </row>
    <row r="701" spans="1:14" x14ac:dyDescent="0.25">
      <c r="A701" t="s">
        <v>1750</v>
      </c>
      <c r="B701" t="s">
        <v>1609</v>
      </c>
      <c r="C701" t="s">
        <v>448</v>
      </c>
      <c r="D701" s="4">
        <v>5.6336095707345997E-2</v>
      </c>
      <c r="E701" s="3">
        <v>64055.773564787502</v>
      </c>
      <c r="H701" t="s">
        <v>546</v>
      </c>
      <c r="I701" t="s">
        <v>1253</v>
      </c>
      <c r="J701" t="s">
        <v>1086</v>
      </c>
      <c r="K701">
        <v>8.2899999999999991</v>
      </c>
      <c r="L701">
        <v>2.5350000000000001</v>
      </c>
      <c r="M701" s="1">
        <v>10</v>
      </c>
      <c r="N701" s="1" t="s">
        <v>446</v>
      </c>
    </row>
    <row r="702" spans="1:14" x14ac:dyDescent="0.25">
      <c r="A702" t="s">
        <v>1753</v>
      </c>
      <c r="B702" t="s">
        <v>1609</v>
      </c>
      <c r="C702" t="s">
        <v>9</v>
      </c>
      <c r="D702" s="4">
        <v>3.0663964087833399E-2</v>
      </c>
      <c r="E702" s="3">
        <v>288779.57189200202</v>
      </c>
      <c r="F702" s="3">
        <f>E702/7.8</f>
        <v>37023.02203743616</v>
      </c>
      <c r="G702" s="3">
        <f>F702/2</f>
        <v>18511.51101871808</v>
      </c>
      <c r="H702" t="s">
        <v>114</v>
      </c>
      <c r="I702" t="s">
        <v>1332</v>
      </c>
      <c r="J702" t="s">
        <v>1333</v>
      </c>
      <c r="K702">
        <v>17.21</v>
      </c>
      <c r="L702">
        <v>2.5640000000000001</v>
      </c>
      <c r="M702" s="1">
        <v>10</v>
      </c>
      <c r="N702" s="1" t="s">
        <v>446</v>
      </c>
    </row>
    <row r="703" spans="1:14" x14ac:dyDescent="0.25">
      <c r="A703" t="s">
        <v>1753</v>
      </c>
      <c r="B703" t="s">
        <v>1609</v>
      </c>
      <c r="C703" t="s">
        <v>448</v>
      </c>
      <c r="D703" s="4">
        <v>7.2518792829017201E-2</v>
      </c>
      <c r="E703" s="3">
        <v>36821.851301214498</v>
      </c>
      <c r="H703" t="s">
        <v>114</v>
      </c>
      <c r="I703" t="s">
        <v>1334</v>
      </c>
      <c r="J703" t="s">
        <v>1335</v>
      </c>
      <c r="K703">
        <v>8.2899999999999991</v>
      </c>
      <c r="L703">
        <v>2.5640000000000001</v>
      </c>
      <c r="M703" s="1">
        <v>10</v>
      </c>
      <c r="N703" s="1" t="s">
        <v>446</v>
      </c>
    </row>
    <row r="704" spans="1:14" x14ac:dyDescent="0.25">
      <c r="A704" t="s">
        <v>1764</v>
      </c>
      <c r="B704" t="s">
        <v>1609</v>
      </c>
      <c r="C704" t="s">
        <v>9</v>
      </c>
      <c r="D704" s="4">
        <v>3.4022049465908998E-2</v>
      </c>
      <c r="E704" s="3">
        <v>1296823.7596909199</v>
      </c>
      <c r="F704" s="3">
        <f>E704/7.8</f>
        <v>166259.45637063077</v>
      </c>
      <c r="G704" s="3">
        <f>F704/2</f>
        <v>83129.728185315384</v>
      </c>
      <c r="H704" t="s">
        <v>893</v>
      </c>
      <c r="I704" t="s">
        <v>726</v>
      </c>
      <c r="J704" t="s">
        <v>1170</v>
      </c>
      <c r="K704">
        <v>17.21</v>
      </c>
      <c r="L704">
        <v>2.6520000000000001</v>
      </c>
      <c r="M704" s="1">
        <v>10</v>
      </c>
      <c r="N704" s="1" t="s">
        <v>446</v>
      </c>
    </row>
    <row r="705" spans="1:14" x14ac:dyDescent="0.25">
      <c r="A705" t="s">
        <v>1764</v>
      </c>
      <c r="B705" t="s">
        <v>1609</v>
      </c>
      <c r="C705" t="s">
        <v>448</v>
      </c>
      <c r="D705" s="4">
        <v>3.6487118532056897E-2</v>
      </c>
      <c r="E705" s="3">
        <v>169730.21439795301</v>
      </c>
      <c r="H705" t="s">
        <v>177</v>
      </c>
      <c r="I705" t="s">
        <v>1171</v>
      </c>
      <c r="J705" t="s">
        <v>1172</v>
      </c>
      <c r="K705">
        <v>7.01</v>
      </c>
      <c r="L705">
        <v>2.6520000000000001</v>
      </c>
      <c r="M705" s="1">
        <v>10</v>
      </c>
      <c r="N705" s="1" t="s">
        <v>446</v>
      </c>
    </row>
    <row r="706" spans="1:14" x14ac:dyDescent="0.25">
      <c r="A706" t="s">
        <v>1775</v>
      </c>
      <c r="B706" t="s">
        <v>1609</v>
      </c>
      <c r="C706" t="s">
        <v>9</v>
      </c>
      <c r="D706" s="4">
        <v>4.1378085570796599E-2</v>
      </c>
      <c r="E706" s="3">
        <v>1622102.5941905901</v>
      </c>
      <c r="F706" s="3">
        <f>E706/7.8</f>
        <v>207961.87105007566</v>
      </c>
      <c r="G706" s="3">
        <f>F706/2</f>
        <v>103980.93552503783</v>
      </c>
      <c r="H706" t="s">
        <v>56</v>
      </c>
      <c r="I706" t="s">
        <v>1153</v>
      </c>
      <c r="J706" t="s">
        <v>1154</v>
      </c>
      <c r="K706">
        <v>13.39</v>
      </c>
      <c r="L706">
        <v>2.61</v>
      </c>
      <c r="M706" s="1">
        <v>10</v>
      </c>
      <c r="N706" s="1" t="s">
        <v>446</v>
      </c>
    </row>
    <row r="707" spans="1:14" x14ac:dyDescent="0.25">
      <c r="A707" t="s">
        <v>1775</v>
      </c>
      <c r="B707" t="s">
        <v>1609</v>
      </c>
      <c r="C707" t="s">
        <v>448</v>
      </c>
      <c r="D707" s="4">
        <v>3.4239405215510603E-2</v>
      </c>
      <c r="E707" s="3">
        <v>211383.72889182199</v>
      </c>
      <c r="H707" t="s">
        <v>208</v>
      </c>
      <c r="I707" t="s">
        <v>1155</v>
      </c>
      <c r="J707" t="s">
        <v>1156</v>
      </c>
      <c r="K707">
        <v>7.01</v>
      </c>
      <c r="L707">
        <v>2.61</v>
      </c>
      <c r="M707" s="1">
        <v>10</v>
      </c>
      <c r="N707" s="1" t="s">
        <v>446</v>
      </c>
    </row>
    <row r="708" spans="1:14" x14ac:dyDescent="0.25">
      <c r="A708" t="s">
        <v>1776</v>
      </c>
      <c r="B708" t="s">
        <v>1609</v>
      </c>
      <c r="C708" t="s">
        <v>9</v>
      </c>
      <c r="D708" s="4">
        <v>4.5972393490953001E-2</v>
      </c>
      <c r="E708" s="3">
        <v>1810985.7546719301</v>
      </c>
      <c r="F708" s="3">
        <f>E708/7.8</f>
        <v>232177.66085537567</v>
      </c>
      <c r="G708" s="3">
        <f>F708/2</f>
        <v>116088.83042768783</v>
      </c>
      <c r="H708" t="s">
        <v>552</v>
      </c>
      <c r="I708" t="s">
        <v>521</v>
      </c>
      <c r="J708" t="s">
        <v>1336</v>
      </c>
      <c r="K708">
        <v>12.75</v>
      </c>
      <c r="L708">
        <v>2.5419999999999998</v>
      </c>
      <c r="M708" s="1">
        <v>10</v>
      </c>
      <c r="N708" s="1" t="s">
        <v>446</v>
      </c>
    </row>
    <row r="709" spans="1:14" x14ac:dyDescent="0.25">
      <c r="A709" t="s">
        <v>1776</v>
      </c>
      <c r="B709" t="s">
        <v>1609</v>
      </c>
      <c r="C709" t="s">
        <v>448</v>
      </c>
      <c r="D709" s="4">
        <v>3.3685145994508801E-2</v>
      </c>
      <c r="E709" s="3">
        <v>219090.520169642</v>
      </c>
      <c r="H709" t="s">
        <v>552</v>
      </c>
      <c r="I709" t="s">
        <v>1337</v>
      </c>
      <c r="J709" t="s">
        <v>1338</v>
      </c>
      <c r="K709">
        <v>7.01</v>
      </c>
      <c r="L709">
        <v>2.5419999999999998</v>
      </c>
      <c r="M709" s="1">
        <v>10</v>
      </c>
      <c r="N709" s="1" t="s">
        <v>446</v>
      </c>
    </row>
    <row r="710" spans="1:14" x14ac:dyDescent="0.25">
      <c r="A710" t="s">
        <v>1780</v>
      </c>
      <c r="B710" t="s">
        <v>1609</v>
      </c>
      <c r="C710" t="s">
        <v>9</v>
      </c>
      <c r="D710" s="4">
        <v>2.6974159780226801E-2</v>
      </c>
      <c r="E710" s="3">
        <v>7508620.9583998602</v>
      </c>
      <c r="F710" s="3">
        <f>E710/7.8</f>
        <v>962643.71261536668</v>
      </c>
      <c r="G710" s="3">
        <f>F710/2</f>
        <v>481321.85630768334</v>
      </c>
      <c r="H710" t="s">
        <v>162</v>
      </c>
      <c r="I710" t="s">
        <v>1214</v>
      </c>
      <c r="J710" t="s">
        <v>1215</v>
      </c>
      <c r="K710">
        <v>13.39</v>
      </c>
      <c r="L710">
        <v>2.5070000000000001</v>
      </c>
      <c r="M710" s="1">
        <v>100</v>
      </c>
      <c r="N710" s="1" t="s">
        <v>446</v>
      </c>
    </row>
    <row r="711" spans="1:14" x14ac:dyDescent="0.25">
      <c r="A711" t="s">
        <v>1780</v>
      </c>
      <c r="B711" t="s">
        <v>1609</v>
      </c>
      <c r="C711" t="s">
        <v>448</v>
      </c>
      <c r="D711" s="4">
        <v>5.0115611431416698E-2</v>
      </c>
      <c r="E711" s="3">
        <v>837010.01192067296</v>
      </c>
      <c r="H711" t="s">
        <v>71</v>
      </c>
      <c r="I711" t="s">
        <v>1216</v>
      </c>
      <c r="J711" t="s">
        <v>1217</v>
      </c>
      <c r="K711">
        <v>7.01</v>
      </c>
      <c r="L711">
        <v>2.5070000000000001</v>
      </c>
      <c r="M711" s="1">
        <v>100</v>
      </c>
      <c r="N711" s="1" t="s">
        <v>446</v>
      </c>
    </row>
    <row r="712" spans="1:14" x14ac:dyDescent="0.25">
      <c r="A712" t="s">
        <v>1781</v>
      </c>
      <c r="B712" t="s">
        <v>1609</v>
      </c>
      <c r="C712" t="s">
        <v>9</v>
      </c>
      <c r="D712" s="4">
        <v>2.8170618477915101E-2</v>
      </c>
      <c r="E712" s="3">
        <v>383060.38623405702</v>
      </c>
      <c r="F712" s="3">
        <f>E712/7.8</f>
        <v>49110.305927443209</v>
      </c>
      <c r="G712" s="3">
        <f>F712/2</f>
        <v>24555.152963721604</v>
      </c>
      <c r="H712" t="s">
        <v>76</v>
      </c>
      <c r="I712" t="s">
        <v>113</v>
      </c>
      <c r="J712" t="s">
        <v>1157</v>
      </c>
      <c r="K712">
        <v>14.66</v>
      </c>
      <c r="L712">
        <v>2.71</v>
      </c>
      <c r="M712" s="1">
        <v>10</v>
      </c>
      <c r="N712" s="1" t="s">
        <v>446</v>
      </c>
    </row>
    <row r="713" spans="1:14" x14ac:dyDescent="0.25">
      <c r="A713" t="s">
        <v>1781</v>
      </c>
      <c r="B713" t="s">
        <v>1609</v>
      </c>
      <c r="C713" t="s">
        <v>448</v>
      </c>
      <c r="D713" s="4">
        <v>6.2492921498961303E-2</v>
      </c>
      <c r="E713" s="3">
        <v>47849.729481257302</v>
      </c>
      <c r="H713" t="s">
        <v>136</v>
      </c>
      <c r="I713" t="s">
        <v>1158</v>
      </c>
      <c r="J713" t="s">
        <v>1159</v>
      </c>
      <c r="K713">
        <v>8.2899999999999991</v>
      </c>
      <c r="L713">
        <v>2.71</v>
      </c>
      <c r="M713" s="1">
        <v>10</v>
      </c>
      <c r="N713" s="1" t="s">
        <v>446</v>
      </c>
    </row>
    <row r="714" spans="1:14" x14ac:dyDescent="0.25">
      <c r="A714" t="s">
        <v>1786</v>
      </c>
      <c r="B714" t="s">
        <v>1609</v>
      </c>
      <c r="C714" t="s">
        <v>9</v>
      </c>
      <c r="D714" s="4">
        <v>2.6860402418666499E-2</v>
      </c>
      <c r="E714" s="3">
        <v>551599.50394248299</v>
      </c>
      <c r="F714" s="3">
        <f>E714/7.8</f>
        <v>70717.885120831153</v>
      </c>
      <c r="G714" s="3">
        <f>F714/2</f>
        <v>35358.942560415577</v>
      </c>
      <c r="H714" t="s">
        <v>56</v>
      </c>
      <c r="I714" t="s">
        <v>1173</v>
      </c>
      <c r="J714" t="s">
        <v>256</v>
      </c>
      <c r="K714">
        <v>13.39</v>
      </c>
      <c r="L714">
        <v>2.6749999999999998</v>
      </c>
      <c r="M714" s="1">
        <v>10</v>
      </c>
      <c r="N714" s="1" t="s">
        <v>446</v>
      </c>
    </row>
    <row r="715" spans="1:14" x14ac:dyDescent="0.25">
      <c r="A715" t="s">
        <v>1786</v>
      </c>
      <c r="B715" t="s">
        <v>1609</v>
      </c>
      <c r="C715" t="s">
        <v>448</v>
      </c>
      <c r="D715" s="4">
        <v>5.5236567010398301E-2</v>
      </c>
      <c r="E715" s="3">
        <v>63220.462332219598</v>
      </c>
      <c r="H715" t="s">
        <v>893</v>
      </c>
      <c r="I715" t="s">
        <v>1174</v>
      </c>
      <c r="J715" t="s">
        <v>1175</v>
      </c>
      <c r="K715">
        <v>7.01</v>
      </c>
      <c r="L715">
        <v>2.6749999999999998</v>
      </c>
      <c r="M715" s="1">
        <v>10</v>
      </c>
      <c r="N715" s="1" t="s">
        <v>446</v>
      </c>
    </row>
    <row r="716" spans="1:14" x14ac:dyDescent="0.25">
      <c r="A716" t="s">
        <v>1794</v>
      </c>
      <c r="B716" t="s">
        <v>1609</v>
      </c>
      <c r="C716" t="s">
        <v>9</v>
      </c>
      <c r="D716" s="4">
        <v>2.96577260220032E-2</v>
      </c>
      <c r="E716" s="3">
        <v>3136739.2271926901</v>
      </c>
      <c r="F716" s="3">
        <f>E716/7.8</f>
        <v>402146.05476829363</v>
      </c>
      <c r="G716" s="3">
        <f>F716/2</f>
        <v>201073.02738414682</v>
      </c>
      <c r="H716" t="s">
        <v>124</v>
      </c>
      <c r="I716" t="s">
        <v>1350</v>
      </c>
      <c r="J716" t="s">
        <v>1351</v>
      </c>
      <c r="K716">
        <v>14.66</v>
      </c>
      <c r="L716">
        <v>2.6619999999999999</v>
      </c>
      <c r="M716" s="1">
        <v>100</v>
      </c>
      <c r="N716" s="1" t="s">
        <v>446</v>
      </c>
    </row>
    <row r="717" spans="1:14" x14ac:dyDescent="0.25">
      <c r="A717" t="s">
        <v>1794</v>
      </c>
      <c r="B717" t="s">
        <v>1609</v>
      </c>
      <c r="C717" t="s">
        <v>448</v>
      </c>
      <c r="D717" s="4">
        <v>6.3299011793710294E-2</v>
      </c>
      <c r="E717" s="3">
        <v>473476.97585950902</v>
      </c>
      <c r="H717" t="s">
        <v>124</v>
      </c>
      <c r="I717" t="s">
        <v>1352</v>
      </c>
      <c r="J717" t="s">
        <v>1353</v>
      </c>
      <c r="K717">
        <v>8.2899999999999991</v>
      </c>
      <c r="L717">
        <v>2.6619999999999999</v>
      </c>
      <c r="M717" s="1">
        <v>100</v>
      </c>
      <c r="N717" s="1" t="s">
        <v>446</v>
      </c>
    </row>
    <row r="718" spans="1:14" x14ac:dyDescent="0.25">
      <c r="A718" t="s">
        <v>1810</v>
      </c>
      <c r="B718" t="s">
        <v>1609</v>
      </c>
      <c r="C718" t="s">
        <v>9</v>
      </c>
      <c r="D718" s="4">
        <v>2.716694097274E-2</v>
      </c>
      <c r="E718" s="3">
        <v>762483.72446926497</v>
      </c>
      <c r="F718" s="3">
        <f>E718/7.8</f>
        <v>97754.323649905768</v>
      </c>
      <c r="G718" s="3">
        <f>F718/2</f>
        <v>48877.161824952884</v>
      </c>
      <c r="H718" t="s">
        <v>56</v>
      </c>
      <c r="I718" t="s">
        <v>1218</v>
      </c>
      <c r="J718" t="s">
        <v>1219</v>
      </c>
      <c r="K718">
        <v>13.39</v>
      </c>
      <c r="L718">
        <v>2.62</v>
      </c>
      <c r="M718" s="1">
        <v>10</v>
      </c>
      <c r="N718" s="1" t="s">
        <v>446</v>
      </c>
    </row>
    <row r="719" spans="1:14" x14ac:dyDescent="0.25">
      <c r="A719" t="s">
        <v>1810</v>
      </c>
      <c r="B719" t="s">
        <v>1609</v>
      </c>
      <c r="C719" t="s">
        <v>448</v>
      </c>
      <c r="D719" s="4">
        <v>4.7005440695825199E-2</v>
      </c>
      <c r="E719" s="3">
        <v>92936.623896565405</v>
      </c>
      <c r="H719" t="s">
        <v>407</v>
      </c>
      <c r="I719" t="s">
        <v>1220</v>
      </c>
      <c r="J719" t="s">
        <v>1221</v>
      </c>
      <c r="K719">
        <v>7.01</v>
      </c>
      <c r="L719">
        <v>2.62</v>
      </c>
      <c r="M719" s="1">
        <v>10</v>
      </c>
      <c r="N719" s="1" t="s">
        <v>446</v>
      </c>
    </row>
    <row r="720" spans="1:14" x14ac:dyDescent="0.25">
      <c r="A720" t="s">
        <v>1811</v>
      </c>
      <c r="B720" t="s">
        <v>1609</v>
      </c>
      <c r="C720" t="s">
        <v>9</v>
      </c>
      <c r="D720" s="4">
        <v>2.87964171915851E-2</v>
      </c>
      <c r="E720" s="3">
        <v>378301.90960608999</v>
      </c>
      <c r="F720" s="3">
        <f>E720/7.8</f>
        <v>48500.244821293592</v>
      </c>
      <c r="G720" s="3">
        <f>F720/2</f>
        <v>24250.122410646796</v>
      </c>
      <c r="H720" t="s">
        <v>284</v>
      </c>
      <c r="I720" t="s">
        <v>1254</v>
      </c>
      <c r="J720" t="s">
        <v>1255</v>
      </c>
      <c r="K720">
        <v>12.11</v>
      </c>
      <c r="L720">
        <v>2.48</v>
      </c>
      <c r="M720" s="1">
        <v>10</v>
      </c>
      <c r="N720" s="1" t="s">
        <v>446</v>
      </c>
    </row>
    <row r="721" spans="1:14" x14ac:dyDescent="0.25">
      <c r="A721" t="s">
        <v>1811</v>
      </c>
      <c r="B721" t="s">
        <v>1609</v>
      </c>
      <c r="C721" t="s">
        <v>448</v>
      </c>
      <c r="D721" s="4">
        <v>6.5771767013719104E-2</v>
      </c>
      <c r="E721" s="3">
        <v>46847.174089714099</v>
      </c>
      <c r="H721" t="s">
        <v>130</v>
      </c>
      <c r="I721" t="s">
        <v>1256</v>
      </c>
      <c r="J721" t="s">
        <v>897</v>
      </c>
      <c r="K721">
        <v>7.01</v>
      </c>
      <c r="L721">
        <v>2.48</v>
      </c>
      <c r="M721" s="1">
        <v>10</v>
      </c>
      <c r="N721" s="1" t="s">
        <v>446</v>
      </c>
    </row>
    <row r="722" spans="1:14" x14ac:dyDescent="0.25">
      <c r="A722" t="s">
        <v>1814</v>
      </c>
      <c r="B722" t="s">
        <v>1609</v>
      </c>
      <c r="C722" t="s">
        <v>9</v>
      </c>
      <c r="D722" s="4">
        <v>2.6899230304078099E-2</v>
      </c>
      <c r="E722" s="3">
        <v>696095.69395514403</v>
      </c>
      <c r="F722" s="3">
        <f>E722/7.8</f>
        <v>89243.037686556927</v>
      </c>
      <c r="G722" s="3">
        <f>F722/2</f>
        <v>44621.518843278463</v>
      </c>
      <c r="H722" t="s">
        <v>294</v>
      </c>
      <c r="I722" t="s">
        <v>1339</v>
      </c>
      <c r="J722" t="s">
        <v>1340</v>
      </c>
      <c r="K722">
        <v>12.11</v>
      </c>
      <c r="L722">
        <v>2.63</v>
      </c>
      <c r="M722" s="1">
        <v>10</v>
      </c>
      <c r="N722" s="1" t="s">
        <v>446</v>
      </c>
    </row>
    <row r="723" spans="1:14" x14ac:dyDescent="0.25">
      <c r="A723" t="s">
        <v>1814</v>
      </c>
      <c r="B723" t="s">
        <v>1609</v>
      </c>
      <c r="C723" t="s">
        <v>448</v>
      </c>
      <c r="D723" s="4">
        <v>4.81224802814713E-2</v>
      </c>
      <c r="E723" s="3">
        <v>87586.629884267502</v>
      </c>
      <c r="H723" t="s">
        <v>421</v>
      </c>
      <c r="I723" t="s">
        <v>1341</v>
      </c>
      <c r="J723" t="s">
        <v>1342</v>
      </c>
      <c r="K723">
        <v>8.2899999999999991</v>
      </c>
      <c r="L723">
        <v>2.63</v>
      </c>
      <c r="M723" s="1">
        <v>10</v>
      </c>
      <c r="N723" s="1" t="s">
        <v>446</v>
      </c>
    </row>
    <row r="724" spans="1:14" x14ac:dyDescent="0.25">
      <c r="A724" t="s">
        <v>1826</v>
      </c>
      <c r="B724" t="s">
        <v>1609</v>
      </c>
      <c r="C724" t="s">
        <v>9</v>
      </c>
      <c r="D724" s="4">
        <v>3.3688721186091897E-2</v>
      </c>
      <c r="E724" s="3">
        <v>1254856.72487175</v>
      </c>
      <c r="F724" s="3">
        <f>E724/7.8</f>
        <v>160879.06729125002</v>
      </c>
      <c r="G724" s="3">
        <f>F724/2</f>
        <v>80439.533645625008</v>
      </c>
      <c r="H724" t="s">
        <v>17</v>
      </c>
      <c r="I724" t="s">
        <v>1160</v>
      </c>
      <c r="J724" t="s">
        <v>1007</v>
      </c>
      <c r="K724">
        <v>13.39</v>
      </c>
      <c r="L724">
        <v>2.7040000000000002</v>
      </c>
      <c r="M724" s="1">
        <v>10</v>
      </c>
      <c r="N724" s="1" t="s">
        <v>446</v>
      </c>
    </row>
    <row r="725" spans="1:14" x14ac:dyDescent="0.25">
      <c r="A725" t="s">
        <v>1826</v>
      </c>
      <c r="B725" t="s">
        <v>1609</v>
      </c>
      <c r="C725" t="s">
        <v>448</v>
      </c>
      <c r="D725" s="4">
        <v>3.5849344947064397E-2</v>
      </c>
      <c r="E725" s="3">
        <v>175825.615876761</v>
      </c>
      <c r="H725" t="s">
        <v>1161</v>
      </c>
      <c r="I725" t="s">
        <v>1162</v>
      </c>
      <c r="J725" t="s">
        <v>609</v>
      </c>
      <c r="K725">
        <v>7.01</v>
      </c>
      <c r="L725">
        <v>2.7040000000000002</v>
      </c>
      <c r="M725" s="1">
        <v>10</v>
      </c>
      <c r="N725" s="1" t="s">
        <v>446</v>
      </c>
    </row>
    <row r="726" spans="1:14" x14ac:dyDescent="0.25">
      <c r="A726" t="s">
        <v>1831</v>
      </c>
      <c r="B726" t="s">
        <v>1609</v>
      </c>
      <c r="C726" t="s">
        <v>9</v>
      </c>
      <c r="D726" s="4">
        <v>2.8389997448322098E-2</v>
      </c>
      <c r="E726" s="3">
        <v>3798621.4625686998</v>
      </c>
      <c r="F726" s="3">
        <f>E726/7.8</f>
        <v>487002.75161137176</v>
      </c>
      <c r="G726" s="3">
        <f>F726/2</f>
        <v>243501.37580568588</v>
      </c>
      <c r="H726" t="s">
        <v>162</v>
      </c>
      <c r="I726" t="s">
        <v>1176</v>
      </c>
      <c r="J726" t="s">
        <v>1177</v>
      </c>
      <c r="K726">
        <v>13.39</v>
      </c>
      <c r="L726">
        <v>2.6259999999999999</v>
      </c>
      <c r="M726" s="1">
        <v>100</v>
      </c>
      <c r="N726" s="1" t="s">
        <v>446</v>
      </c>
    </row>
    <row r="727" spans="1:14" x14ac:dyDescent="0.25">
      <c r="A727" t="s">
        <v>1831</v>
      </c>
      <c r="B727" t="s">
        <v>1609</v>
      </c>
      <c r="C727" t="s">
        <v>448</v>
      </c>
      <c r="D727" s="4">
        <v>6.3497157344385297E-2</v>
      </c>
      <c r="E727" s="3">
        <v>476469.88443656301</v>
      </c>
      <c r="H727" t="s">
        <v>232</v>
      </c>
      <c r="I727" t="s">
        <v>1178</v>
      </c>
      <c r="J727" t="s">
        <v>1179</v>
      </c>
      <c r="K727">
        <v>8.2899999999999991</v>
      </c>
      <c r="L727">
        <v>2.6259999999999999</v>
      </c>
      <c r="M727" s="1">
        <v>100</v>
      </c>
      <c r="N727" s="1" t="s">
        <v>446</v>
      </c>
    </row>
    <row r="728" spans="1:14" x14ac:dyDescent="0.25">
      <c r="A728" t="s">
        <v>1833</v>
      </c>
      <c r="B728" t="s">
        <v>1609</v>
      </c>
      <c r="C728" t="s">
        <v>9</v>
      </c>
      <c r="D728" s="4">
        <v>2.6805872477504E-2</v>
      </c>
      <c r="E728" s="3">
        <v>673657.06460271997</v>
      </c>
      <c r="F728" s="3">
        <f>E728/7.8</f>
        <v>86366.290333682045</v>
      </c>
      <c r="G728" s="3">
        <f>F728/2</f>
        <v>43183.145166841023</v>
      </c>
      <c r="H728" t="s">
        <v>324</v>
      </c>
      <c r="I728" t="s">
        <v>1257</v>
      </c>
      <c r="J728" t="s">
        <v>1258</v>
      </c>
      <c r="K728">
        <v>14.66</v>
      </c>
      <c r="L728">
        <v>2.4950000000000001</v>
      </c>
      <c r="M728" s="1">
        <v>10</v>
      </c>
      <c r="N728" s="1" t="s">
        <v>446</v>
      </c>
    </row>
    <row r="729" spans="1:14" x14ac:dyDescent="0.25">
      <c r="A729" t="s">
        <v>1833</v>
      </c>
      <c r="B729" t="s">
        <v>1609</v>
      </c>
      <c r="C729" t="s">
        <v>448</v>
      </c>
      <c r="D729" s="4">
        <v>5.0676038252561902E-2</v>
      </c>
      <c r="E729" s="3">
        <v>82216.949143423204</v>
      </c>
      <c r="H729" t="s">
        <v>634</v>
      </c>
      <c r="I729" t="s">
        <v>1259</v>
      </c>
      <c r="J729" t="s">
        <v>1250</v>
      </c>
      <c r="K729">
        <v>7.01</v>
      </c>
      <c r="L729">
        <v>2.4950000000000001</v>
      </c>
      <c r="M729" s="1">
        <v>10</v>
      </c>
      <c r="N729" s="1" t="s">
        <v>446</v>
      </c>
    </row>
    <row r="730" spans="1:14" x14ac:dyDescent="0.25">
      <c r="A730" t="s">
        <v>1834</v>
      </c>
      <c r="B730" t="s">
        <v>1609</v>
      </c>
      <c r="C730" t="s">
        <v>9</v>
      </c>
      <c r="D730" s="4">
        <v>3.1075082323506899E-2</v>
      </c>
      <c r="E730" s="3">
        <v>27717.660947284799</v>
      </c>
      <c r="F730" s="3">
        <f>E730/7.8</f>
        <v>3553.5462752929229</v>
      </c>
      <c r="G730" s="3">
        <f>F730/2</f>
        <v>1776.7731376464615</v>
      </c>
      <c r="H730" t="s">
        <v>284</v>
      </c>
      <c r="I730" t="s">
        <v>1300</v>
      </c>
      <c r="J730" t="s">
        <v>1301</v>
      </c>
      <c r="K730">
        <v>14.03</v>
      </c>
      <c r="L730">
        <v>2.56</v>
      </c>
      <c r="M730" s="1" t="s">
        <v>20</v>
      </c>
      <c r="N730" s="1" t="s">
        <v>446</v>
      </c>
    </row>
    <row r="731" spans="1:14" x14ac:dyDescent="0.25">
      <c r="A731" t="s">
        <v>1834</v>
      </c>
      <c r="B731" t="s">
        <v>1609</v>
      </c>
      <c r="C731" t="s">
        <v>448</v>
      </c>
      <c r="D731" s="4">
        <v>7.9442090318333894E-2</v>
      </c>
      <c r="E731" s="3">
        <v>3051.31310912247</v>
      </c>
      <c r="H731" t="s">
        <v>284</v>
      </c>
      <c r="I731" t="s">
        <v>1302</v>
      </c>
      <c r="J731" t="s">
        <v>1303</v>
      </c>
      <c r="K731">
        <v>7.01</v>
      </c>
      <c r="L731">
        <v>2.56</v>
      </c>
      <c r="M731" s="1" t="s">
        <v>20</v>
      </c>
      <c r="N731" s="1" t="s">
        <v>446</v>
      </c>
    </row>
    <row r="732" spans="1:14" x14ac:dyDescent="0.25">
      <c r="A732" t="s">
        <v>1836</v>
      </c>
      <c r="B732" t="s">
        <v>1609</v>
      </c>
      <c r="C732" t="s">
        <v>9</v>
      </c>
      <c r="D732" s="4">
        <v>2.7318126446992601E-2</v>
      </c>
      <c r="E732" s="3">
        <v>77989.176057790595</v>
      </c>
      <c r="F732" s="3">
        <f>E732/7.8</f>
        <v>9998.612315101358</v>
      </c>
      <c r="G732" s="3">
        <f>F732/2</f>
        <v>4999.306157550679</v>
      </c>
      <c r="H732" t="s">
        <v>130</v>
      </c>
      <c r="I732" t="s">
        <v>1343</v>
      </c>
      <c r="J732" t="s">
        <v>1344</v>
      </c>
      <c r="K732">
        <v>12.11</v>
      </c>
      <c r="L732">
        <v>2.6469999999999998</v>
      </c>
      <c r="M732" s="1" t="s">
        <v>20</v>
      </c>
      <c r="N732" s="1" t="s">
        <v>446</v>
      </c>
    </row>
    <row r="733" spans="1:14" x14ac:dyDescent="0.25">
      <c r="A733" t="s">
        <v>1836</v>
      </c>
      <c r="B733" t="s">
        <v>1609</v>
      </c>
      <c r="C733" t="s">
        <v>448</v>
      </c>
      <c r="D733" s="4">
        <v>5.0328061529487898E-2</v>
      </c>
      <c r="E733" s="3">
        <v>7877.25832694787</v>
      </c>
      <c r="H733" t="s">
        <v>11</v>
      </c>
      <c r="I733" t="s">
        <v>1345</v>
      </c>
      <c r="J733" t="s">
        <v>1346</v>
      </c>
      <c r="K733">
        <v>8.2899999999999991</v>
      </c>
      <c r="L733">
        <v>2.6469999999999998</v>
      </c>
      <c r="M733" s="1" t="s">
        <v>20</v>
      </c>
      <c r="N733" s="1" t="s">
        <v>446</v>
      </c>
    </row>
    <row r="734" spans="1:14" x14ac:dyDescent="0.25">
      <c r="A734" t="s">
        <v>1837</v>
      </c>
      <c r="B734" t="s">
        <v>1609</v>
      </c>
      <c r="C734" t="s">
        <v>9</v>
      </c>
      <c r="D734" s="4">
        <v>4.0532120896979801E-2</v>
      </c>
      <c r="E734" s="3">
        <v>13140.2260864992</v>
      </c>
      <c r="F734" s="3">
        <f>E734/7.8</f>
        <v>1684.644370064</v>
      </c>
      <c r="G734" s="3">
        <f>F734/2</f>
        <v>842.32218503199999</v>
      </c>
      <c r="H734" t="s">
        <v>1078</v>
      </c>
      <c r="I734" t="s">
        <v>1354</v>
      </c>
      <c r="J734" t="s">
        <v>1355</v>
      </c>
      <c r="K734">
        <v>14.66</v>
      </c>
      <c r="L734">
        <v>2.6309999999999998</v>
      </c>
      <c r="M734" s="1" t="s">
        <v>20</v>
      </c>
      <c r="N734" s="1" t="s">
        <v>446</v>
      </c>
    </row>
    <row r="735" spans="1:14" x14ac:dyDescent="0.25">
      <c r="A735" t="s">
        <v>1837</v>
      </c>
      <c r="B735" t="s">
        <v>1609</v>
      </c>
      <c r="C735" t="s">
        <v>448</v>
      </c>
      <c r="D735" s="4">
        <v>0.105225172225487</v>
      </c>
      <c r="E735" s="3">
        <v>1666.01620763747</v>
      </c>
      <c r="H735" t="s">
        <v>169</v>
      </c>
      <c r="I735" t="s">
        <v>1356</v>
      </c>
      <c r="J735" t="s">
        <v>221</v>
      </c>
      <c r="K735">
        <v>8.2899999999999991</v>
      </c>
      <c r="L735">
        <v>2.6309999999999998</v>
      </c>
      <c r="M735" s="1" t="s">
        <v>20</v>
      </c>
      <c r="N735" s="1" t="s">
        <v>446</v>
      </c>
    </row>
    <row r="736" spans="1:14" x14ac:dyDescent="0.25">
      <c r="A736" t="s">
        <v>1848</v>
      </c>
      <c r="B736" t="s">
        <v>1609</v>
      </c>
      <c r="C736" t="s">
        <v>9</v>
      </c>
      <c r="D736" s="4">
        <v>2.78933768782458E-2</v>
      </c>
      <c r="E736" s="3">
        <v>476662.23089807603</v>
      </c>
      <c r="F736" s="3">
        <f>E736/7.8</f>
        <v>61110.542422830258</v>
      </c>
      <c r="G736" s="3">
        <f>F736/2</f>
        <v>30555.271211415129</v>
      </c>
      <c r="H736" t="s">
        <v>1180</v>
      </c>
      <c r="I736" t="s">
        <v>1181</v>
      </c>
      <c r="J736" t="s">
        <v>1182</v>
      </c>
      <c r="K736">
        <v>14.66</v>
      </c>
      <c r="L736">
        <v>2.5329999999999999</v>
      </c>
      <c r="M736" s="1">
        <v>10</v>
      </c>
      <c r="N736" s="1" t="s">
        <v>446</v>
      </c>
    </row>
    <row r="737" spans="1:14" x14ac:dyDescent="0.25">
      <c r="A737" t="s">
        <v>1848</v>
      </c>
      <c r="B737" t="s">
        <v>1609</v>
      </c>
      <c r="C737" t="s">
        <v>448</v>
      </c>
      <c r="D737" s="4">
        <v>6.2847010955231195E-2</v>
      </c>
      <c r="E737" s="3">
        <v>52458.654204562998</v>
      </c>
      <c r="H737" t="s">
        <v>1183</v>
      </c>
      <c r="I737" t="s">
        <v>1184</v>
      </c>
      <c r="J737" t="s">
        <v>592</v>
      </c>
      <c r="K737">
        <v>8.2899999999999991</v>
      </c>
      <c r="L737">
        <v>2.5329999999999999</v>
      </c>
      <c r="M737" s="1">
        <v>10</v>
      </c>
      <c r="N737" s="1" t="s">
        <v>446</v>
      </c>
    </row>
    <row r="738" spans="1:14" x14ac:dyDescent="0.25">
      <c r="A738" t="s">
        <v>1866</v>
      </c>
      <c r="B738" t="s">
        <v>1609</v>
      </c>
      <c r="C738" t="s">
        <v>9</v>
      </c>
      <c r="D738" s="4">
        <v>4.8884263658021503E-2</v>
      </c>
      <c r="E738" s="3">
        <v>8429.3926540325792</v>
      </c>
      <c r="F738" s="3">
        <f>E738/7.8</f>
        <v>1080.6913659016127</v>
      </c>
      <c r="G738" s="3">
        <f>F738/2</f>
        <v>540.34568295080635</v>
      </c>
      <c r="H738" t="s">
        <v>53</v>
      </c>
      <c r="I738" t="s">
        <v>635</v>
      </c>
      <c r="J738" t="s">
        <v>1357</v>
      </c>
      <c r="K738">
        <v>14.03</v>
      </c>
      <c r="L738">
        <v>2.6360000000000001</v>
      </c>
      <c r="M738" s="1" t="s">
        <v>20</v>
      </c>
      <c r="N738" s="1" t="s">
        <v>446</v>
      </c>
    </row>
    <row r="739" spans="1:14" x14ac:dyDescent="0.25">
      <c r="A739" t="s">
        <v>1866</v>
      </c>
      <c r="B739" t="s">
        <v>1609</v>
      </c>
      <c r="C739" t="s">
        <v>448</v>
      </c>
      <c r="D739" s="4">
        <v>0.15351923631575801</v>
      </c>
      <c r="E739" s="3">
        <v>770.722203030439</v>
      </c>
      <c r="H739" t="s">
        <v>56</v>
      </c>
      <c r="I739" t="s">
        <v>1358</v>
      </c>
      <c r="J739" t="s">
        <v>1359</v>
      </c>
      <c r="K739">
        <v>8.2899999999999991</v>
      </c>
      <c r="L739">
        <v>2.6360000000000001</v>
      </c>
      <c r="M739" s="1" t="s">
        <v>20</v>
      </c>
      <c r="N739" s="1" t="s">
        <v>446</v>
      </c>
    </row>
    <row r="740" spans="1:14" x14ac:dyDescent="0.25">
      <c r="A740" t="s">
        <v>1868</v>
      </c>
      <c r="B740" t="s">
        <v>1609</v>
      </c>
      <c r="C740" t="s">
        <v>9</v>
      </c>
      <c r="D740" s="4">
        <v>2.86943835720396E-2</v>
      </c>
      <c r="E740" s="3">
        <v>983876.35963094397</v>
      </c>
      <c r="F740" s="3">
        <f>E740/7.8</f>
        <v>126137.99482448</v>
      </c>
      <c r="G740" s="3">
        <f>F740/2</f>
        <v>63068.997412240002</v>
      </c>
      <c r="H740" t="s">
        <v>82</v>
      </c>
      <c r="I740" t="s">
        <v>166</v>
      </c>
      <c r="J740" t="s">
        <v>1304</v>
      </c>
      <c r="K740">
        <v>14.03</v>
      </c>
      <c r="L740">
        <v>2.5419999999999998</v>
      </c>
      <c r="M740" s="1">
        <v>10</v>
      </c>
      <c r="N740" s="1" t="s">
        <v>446</v>
      </c>
    </row>
    <row r="741" spans="1:14" x14ac:dyDescent="0.25">
      <c r="A741" t="s">
        <v>1868</v>
      </c>
      <c r="B741" t="s">
        <v>1609</v>
      </c>
      <c r="C741" t="s">
        <v>448</v>
      </c>
      <c r="D741" s="4">
        <v>4.2937083898827402E-2</v>
      </c>
      <c r="E741" s="3">
        <v>118280.890087209</v>
      </c>
      <c r="H741" t="s">
        <v>204</v>
      </c>
      <c r="I741" t="s">
        <v>1305</v>
      </c>
      <c r="J741" t="s">
        <v>1306</v>
      </c>
      <c r="K741">
        <v>7.01</v>
      </c>
      <c r="L741">
        <v>2.5419999999999998</v>
      </c>
      <c r="M741" s="1">
        <v>10</v>
      </c>
      <c r="N741" s="1" t="s">
        <v>446</v>
      </c>
    </row>
    <row r="742" spans="1:14" x14ac:dyDescent="0.25">
      <c r="A742" t="s">
        <v>1869</v>
      </c>
      <c r="B742" t="s">
        <v>1609</v>
      </c>
      <c r="C742" t="s">
        <v>9</v>
      </c>
      <c r="D742" s="4">
        <v>2.6914598942954299E-2</v>
      </c>
      <c r="E742" s="3">
        <v>719107.48114041495</v>
      </c>
      <c r="F742" s="3">
        <f>E742/7.8</f>
        <v>92193.266812873713</v>
      </c>
      <c r="G742" s="3">
        <f>F742/2</f>
        <v>46096.633406436857</v>
      </c>
      <c r="H742" t="s">
        <v>552</v>
      </c>
      <c r="I742" t="s">
        <v>782</v>
      </c>
      <c r="J742" t="s">
        <v>606</v>
      </c>
      <c r="K742">
        <v>14.03</v>
      </c>
      <c r="L742">
        <v>2.5129999999999999</v>
      </c>
      <c r="M742" s="1">
        <v>10</v>
      </c>
      <c r="N742" s="1" t="s">
        <v>446</v>
      </c>
    </row>
    <row r="743" spans="1:14" x14ac:dyDescent="0.25">
      <c r="A743" t="s">
        <v>1869</v>
      </c>
      <c r="B743" t="s">
        <v>1609</v>
      </c>
      <c r="C743" t="s">
        <v>448</v>
      </c>
      <c r="D743" s="4">
        <v>5.1203888492191402E-2</v>
      </c>
      <c r="E743" s="3">
        <v>79872.214704583399</v>
      </c>
      <c r="H743" t="s">
        <v>505</v>
      </c>
      <c r="I743" t="s">
        <v>1260</v>
      </c>
      <c r="J743" t="s">
        <v>1261</v>
      </c>
      <c r="K743">
        <v>8.2899999999999991</v>
      </c>
      <c r="L743">
        <v>2.5129999999999999</v>
      </c>
      <c r="M743" s="1">
        <v>10</v>
      </c>
      <c r="N743" s="1" t="s">
        <v>446</v>
      </c>
    </row>
    <row r="744" spans="1:14" x14ac:dyDescent="0.25">
      <c r="A744" t="s">
        <v>1874</v>
      </c>
      <c r="B744" t="s">
        <v>1609</v>
      </c>
      <c r="C744" t="s">
        <v>9</v>
      </c>
      <c r="D744" s="4">
        <v>3.1720440963627798E-2</v>
      </c>
      <c r="E744" s="3">
        <v>26693.639172927698</v>
      </c>
      <c r="F744" s="3">
        <f>E744/7.8</f>
        <v>3422.2614324266283</v>
      </c>
      <c r="G744" s="3">
        <f>F744/2</f>
        <v>1711.1307162133141</v>
      </c>
      <c r="H744" t="s">
        <v>62</v>
      </c>
      <c r="I744" t="s">
        <v>473</v>
      </c>
      <c r="J744" t="s">
        <v>1185</v>
      </c>
      <c r="K744">
        <v>12.11</v>
      </c>
      <c r="L744">
        <v>2.4929999999999999</v>
      </c>
      <c r="M744" s="1" t="s">
        <v>20</v>
      </c>
      <c r="N744" s="1" t="s">
        <v>446</v>
      </c>
    </row>
    <row r="745" spans="1:14" x14ac:dyDescent="0.25">
      <c r="A745" t="s">
        <v>1874</v>
      </c>
      <c r="B745" t="s">
        <v>1609</v>
      </c>
      <c r="C745" t="s">
        <v>448</v>
      </c>
      <c r="D745" s="4">
        <v>9.5876530978241906E-2</v>
      </c>
      <c r="E745" s="3">
        <v>2126.6922418793001</v>
      </c>
      <c r="H745" t="s">
        <v>62</v>
      </c>
      <c r="I745" t="s">
        <v>1186</v>
      </c>
      <c r="J745" t="s">
        <v>1187</v>
      </c>
      <c r="K745">
        <v>7.01</v>
      </c>
      <c r="L745">
        <v>2.4929999999999999</v>
      </c>
      <c r="M745" s="1" t="s">
        <v>20</v>
      </c>
      <c r="N745" s="1" t="s">
        <v>446</v>
      </c>
    </row>
    <row r="746" spans="1:14" x14ac:dyDescent="0.25">
      <c r="A746" t="s">
        <v>1879</v>
      </c>
      <c r="B746" t="s">
        <v>1609</v>
      </c>
      <c r="C746" t="s">
        <v>9</v>
      </c>
      <c r="D746" s="4">
        <v>0.100159604963505</v>
      </c>
      <c r="E746" s="3">
        <v>1899.2930519833601</v>
      </c>
      <c r="F746" s="3">
        <f>E746/7.8</f>
        <v>243.49910922863592</v>
      </c>
      <c r="G746" s="3">
        <f>F746/2</f>
        <v>121.74955461431796</v>
      </c>
      <c r="H746" t="s">
        <v>56</v>
      </c>
      <c r="I746" t="s">
        <v>1163</v>
      </c>
      <c r="J746" t="s">
        <v>1164</v>
      </c>
      <c r="K746">
        <v>14.66</v>
      </c>
      <c r="L746">
        <v>2.548</v>
      </c>
      <c r="M746" s="1" t="s">
        <v>20</v>
      </c>
      <c r="N746" s="1" t="s">
        <v>446</v>
      </c>
    </row>
    <row r="747" spans="1:14" x14ac:dyDescent="0.25">
      <c r="A747" t="s">
        <v>1879</v>
      </c>
      <c r="B747" t="s">
        <v>1609</v>
      </c>
      <c r="C747" t="s">
        <v>448</v>
      </c>
      <c r="D747" s="4">
        <v>0.36395655998158799</v>
      </c>
      <c r="E747" s="3">
        <v>140.70304326376501</v>
      </c>
      <c r="H747" t="s">
        <v>56</v>
      </c>
      <c r="I747" t="s">
        <v>671</v>
      </c>
      <c r="J747" t="s">
        <v>305</v>
      </c>
      <c r="K747">
        <v>7.3</v>
      </c>
      <c r="L747">
        <v>2.548</v>
      </c>
      <c r="M747" s="1" t="s">
        <v>20</v>
      </c>
      <c r="N747" s="1" t="s">
        <v>446</v>
      </c>
    </row>
    <row r="748" spans="1:14" x14ac:dyDescent="0.25">
      <c r="A748" t="s">
        <v>1880</v>
      </c>
      <c r="B748" t="s">
        <v>1609</v>
      </c>
      <c r="C748" t="s">
        <v>9</v>
      </c>
      <c r="D748" s="4">
        <v>3.9692077616998299E-2</v>
      </c>
      <c r="E748" s="3">
        <v>13542.7908219727</v>
      </c>
      <c r="F748" s="3">
        <f>E748/7.8</f>
        <v>1736.2552335862435</v>
      </c>
      <c r="G748" s="3">
        <f>F748/2</f>
        <v>868.12761679312177</v>
      </c>
      <c r="H748" t="s">
        <v>728</v>
      </c>
      <c r="I748" t="s">
        <v>1101</v>
      </c>
      <c r="J748" t="s">
        <v>617</v>
      </c>
      <c r="K748">
        <v>14.66</v>
      </c>
      <c r="L748">
        <v>2.71</v>
      </c>
      <c r="M748" s="1" t="s">
        <v>20</v>
      </c>
      <c r="N748" s="1" t="s">
        <v>446</v>
      </c>
    </row>
    <row r="749" spans="1:14" x14ac:dyDescent="0.25">
      <c r="A749" t="s">
        <v>1880</v>
      </c>
      <c r="B749" t="s">
        <v>1609</v>
      </c>
      <c r="C749" t="s">
        <v>448</v>
      </c>
      <c r="D749" s="4">
        <v>0.110791271914948</v>
      </c>
      <c r="E749" s="3">
        <v>1454.9660009530701</v>
      </c>
      <c r="H749" t="s">
        <v>71</v>
      </c>
      <c r="I749" t="s">
        <v>1102</v>
      </c>
      <c r="J749" t="s">
        <v>494</v>
      </c>
      <c r="K749">
        <v>8.2899999999999991</v>
      </c>
      <c r="L749">
        <v>2.71</v>
      </c>
      <c r="M749" s="1" t="s">
        <v>20</v>
      </c>
      <c r="N749" s="1" t="s">
        <v>446</v>
      </c>
    </row>
    <row r="750" spans="1:14" x14ac:dyDescent="0.25">
      <c r="A750" t="s">
        <v>1897</v>
      </c>
      <c r="B750" t="s">
        <v>1609</v>
      </c>
      <c r="C750" t="s">
        <v>9</v>
      </c>
      <c r="D750" s="4">
        <v>0.227842270233099</v>
      </c>
      <c r="E750" s="3">
        <v>351.19023775073498</v>
      </c>
      <c r="F750" s="3">
        <f>E750/7.8</f>
        <v>45.024389455222433</v>
      </c>
      <c r="G750" s="3">
        <f>F750/2</f>
        <v>22.512194727611217</v>
      </c>
      <c r="H750" t="s">
        <v>207</v>
      </c>
      <c r="I750" t="s">
        <v>1151</v>
      </c>
      <c r="J750" t="s">
        <v>549</v>
      </c>
      <c r="K750">
        <v>14.03</v>
      </c>
      <c r="L750">
        <v>2.613</v>
      </c>
      <c r="M750" s="1" t="s">
        <v>20</v>
      </c>
      <c r="N750" s="1" t="s">
        <v>446</v>
      </c>
    </row>
    <row r="751" spans="1:14" x14ac:dyDescent="0.25">
      <c r="A751" t="s">
        <v>1897</v>
      </c>
      <c r="B751" t="s">
        <v>1609</v>
      </c>
      <c r="C751" t="s">
        <v>448</v>
      </c>
      <c r="D751" s="4">
        <v>0.74079687395222305</v>
      </c>
      <c r="E751" s="3">
        <v>33.0858831511378</v>
      </c>
      <c r="H751" t="s">
        <v>207</v>
      </c>
      <c r="I751" t="s">
        <v>1152</v>
      </c>
      <c r="J751" t="s">
        <v>17</v>
      </c>
      <c r="K751">
        <v>7.3</v>
      </c>
      <c r="L751">
        <v>2.613</v>
      </c>
      <c r="M751" s="1" t="s">
        <v>20</v>
      </c>
      <c r="N751" s="1" t="s">
        <v>446</v>
      </c>
    </row>
    <row r="752" spans="1:14" x14ac:dyDescent="0.25">
      <c r="A752" t="s">
        <v>1898</v>
      </c>
      <c r="B752" t="s">
        <v>1609</v>
      </c>
      <c r="C752" t="s">
        <v>9</v>
      </c>
      <c r="D752" s="4">
        <v>2.85345893408409E-2</v>
      </c>
      <c r="E752" s="3">
        <v>89744.1166200281</v>
      </c>
      <c r="F752" s="3">
        <f>E752/7.8</f>
        <v>11505.655976926681</v>
      </c>
      <c r="G752" s="3">
        <f>F752/2</f>
        <v>5752.8279884633403</v>
      </c>
      <c r="H752" t="s">
        <v>893</v>
      </c>
      <c r="I752" t="s">
        <v>1115</v>
      </c>
      <c r="J752" t="s">
        <v>1116</v>
      </c>
      <c r="K752">
        <v>10.84</v>
      </c>
      <c r="L752">
        <v>2.7480000000000002</v>
      </c>
      <c r="M752" s="1" t="s">
        <v>20</v>
      </c>
      <c r="N752" s="1" t="s">
        <v>446</v>
      </c>
    </row>
    <row r="753" spans="1:14" x14ac:dyDescent="0.25">
      <c r="A753" t="s">
        <v>1898</v>
      </c>
      <c r="B753" t="s">
        <v>1609</v>
      </c>
      <c r="C753" t="s">
        <v>448</v>
      </c>
      <c r="D753" s="4">
        <v>4.6952239092309202E-2</v>
      </c>
      <c r="E753" s="3">
        <v>8881.2512425747409</v>
      </c>
      <c r="H753" t="s">
        <v>358</v>
      </c>
      <c r="I753" t="s">
        <v>1117</v>
      </c>
      <c r="J753" t="s">
        <v>1017</v>
      </c>
      <c r="K753">
        <v>7.01</v>
      </c>
      <c r="L753">
        <v>2.7480000000000002</v>
      </c>
      <c r="M753" s="1" t="s">
        <v>20</v>
      </c>
      <c r="N753" s="1" t="s">
        <v>446</v>
      </c>
    </row>
    <row r="754" spans="1:14" x14ac:dyDescent="0.25">
      <c r="A754" t="s">
        <v>1899</v>
      </c>
      <c r="B754" t="s">
        <v>1609</v>
      </c>
      <c r="C754" t="s">
        <v>9</v>
      </c>
      <c r="D754" s="4">
        <v>2.9920254605197701E-2</v>
      </c>
      <c r="E754" s="3">
        <v>1093005.02280779</v>
      </c>
      <c r="F754" s="3">
        <f>E754/7.8</f>
        <v>140128.8490779218</v>
      </c>
      <c r="G754" s="3">
        <f>F754/2</f>
        <v>70064.424538960899</v>
      </c>
      <c r="H754" t="s">
        <v>114</v>
      </c>
      <c r="I754" t="s">
        <v>1203</v>
      </c>
      <c r="J754" t="s">
        <v>1204</v>
      </c>
      <c r="K754">
        <v>12.11</v>
      </c>
      <c r="L754">
        <v>2.5470000000000002</v>
      </c>
      <c r="M754" s="1">
        <v>10</v>
      </c>
      <c r="N754" s="1" t="s">
        <v>446</v>
      </c>
    </row>
    <row r="755" spans="1:14" x14ac:dyDescent="0.25">
      <c r="A755" t="s">
        <v>1899</v>
      </c>
      <c r="B755" t="s">
        <v>1609</v>
      </c>
      <c r="C755" t="s">
        <v>448</v>
      </c>
      <c r="D755" s="4">
        <v>4.2619134336957597E-2</v>
      </c>
      <c r="E755" s="3">
        <v>120180.89623563801</v>
      </c>
      <c r="H755" t="s">
        <v>177</v>
      </c>
      <c r="I755" t="s">
        <v>584</v>
      </c>
      <c r="J755" t="s">
        <v>1205</v>
      </c>
      <c r="K755">
        <v>7.01</v>
      </c>
      <c r="L755">
        <v>2.5470000000000002</v>
      </c>
      <c r="M755" s="1">
        <v>10</v>
      </c>
      <c r="N755" s="1" t="s">
        <v>446</v>
      </c>
    </row>
    <row r="756" spans="1:14" x14ac:dyDescent="0.25">
      <c r="A756" t="s">
        <v>1910</v>
      </c>
      <c r="B756" t="s">
        <v>1609</v>
      </c>
      <c r="C756" t="s">
        <v>9</v>
      </c>
      <c r="D756" s="4">
        <v>2.80633225959648E-2</v>
      </c>
      <c r="E756" s="3">
        <v>42378.878270528898</v>
      </c>
      <c r="F756" s="3">
        <f>E756/7.8</f>
        <v>5433.1895218626796</v>
      </c>
      <c r="G756" s="3">
        <f>F756/2</f>
        <v>2716.5947609313398</v>
      </c>
      <c r="H756" t="s">
        <v>1198</v>
      </c>
      <c r="I756" t="s">
        <v>1199</v>
      </c>
      <c r="J756" t="s">
        <v>1200</v>
      </c>
      <c r="K756">
        <v>12.11</v>
      </c>
      <c r="L756">
        <v>2.65</v>
      </c>
      <c r="M756" s="1" t="s">
        <v>20</v>
      </c>
      <c r="N756" s="1" t="s">
        <v>446</v>
      </c>
    </row>
    <row r="757" spans="1:14" x14ac:dyDescent="0.25">
      <c r="A757" t="s">
        <v>1910</v>
      </c>
      <c r="B757" t="s">
        <v>1609</v>
      </c>
      <c r="C757" t="s">
        <v>448</v>
      </c>
      <c r="D757" s="4">
        <v>6.1059936146078402E-2</v>
      </c>
      <c r="E757" s="3">
        <v>5267.2431340107696</v>
      </c>
      <c r="H757" t="s">
        <v>1201</v>
      </c>
      <c r="I757" t="s">
        <v>158</v>
      </c>
      <c r="J757" t="s">
        <v>1202</v>
      </c>
      <c r="K757">
        <v>7.01</v>
      </c>
      <c r="L757">
        <v>2.65</v>
      </c>
      <c r="M757" s="1" t="s">
        <v>20</v>
      </c>
      <c r="N757" s="1" t="s">
        <v>446</v>
      </c>
    </row>
    <row r="758" spans="1:14" x14ac:dyDescent="0.25">
      <c r="A758" t="s">
        <v>1926</v>
      </c>
      <c r="B758" t="s">
        <v>1609</v>
      </c>
      <c r="C758" t="s">
        <v>9</v>
      </c>
      <c r="D758" s="4">
        <v>3.08058199508554E-2</v>
      </c>
      <c r="E758" s="3">
        <v>11718026.856093001</v>
      </c>
      <c r="F758" s="3">
        <f>E758/7.8</f>
        <v>1502311.1353965385</v>
      </c>
      <c r="G758" s="3">
        <f>F758/2</f>
        <v>751155.56769826927</v>
      </c>
      <c r="H758" t="s">
        <v>27</v>
      </c>
      <c r="I758" t="s">
        <v>1296</v>
      </c>
      <c r="J758" t="s">
        <v>1297</v>
      </c>
      <c r="K758">
        <v>13.39</v>
      </c>
      <c r="L758">
        <v>2.5190000000000001</v>
      </c>
      <c r="M758" s="1">
        <v>100</v>
      </c>
      <c r="N758" s="1" t="s">
        <v>446</v>
      </c>
    </row>
    <row r="759" spans="1:14" x14ac:dyDescent="0.25">
      <c r="A759" t="s">
        <v>1926</v>
      </c>
      <c r="B759" t="s">
        <v>1609</v>
      </c>
      <c r="C759" t="s">
        <v>448</v>
      </c>
      <c r="D759" s="4">
        <v>4.04313521124623E-2</v>
      </c>
      <c r="E759" s="3">
        <v>1378958.4577929999</v>
      </c>
      <c r="H759" t="s">
        <v>204</v>
      </c>
      <c r="I759" t="s">
        <v>1298</v>
      </c>
      <c r="J759" t="s">
        <v>1299</v>
      </c>
      <c r="K759">
        <v>7.01</v>
      </c>
      <c r="L759">
        <v>2.5190000000000001</v>
      </c>
      <c r="M759" s="1">
        <v>100</v>
      </c>
      <c r="N759" s="1" t="s">
        <v>446</v>
      </c>
    </row>
    <row r="760" spans="1:14" x14ac:dyDescent="0.25">
      <c r="A760" t="s">
        <v>1927</v>
      </c>
      <c r="B760" t="s">
        <v>1609</v>
      </c>
      <c r="C760" t="s">
        <v>9</v>
      </c>
      <c r="D760" s="4">
        <v>3.2162950745139501E-2</v>
      </c>
      <c r="E760" s="3">
        <v>122490.570940727</v>
      </c>
      <c r="F760" s="3">
        <f>E760/7.8</f>
        <v>15703.919351375258</v>
      </c>
      <c r="G760" s="3">
        <f>F760/2</f>
        <v>7851.959675687629</v>
      </c>
      <c r="H760" t="s">
        <v>124</v>
      </c>
      <c r="I760" t="s">
        <v>1272</v>
      </c>
      <c r="J760" t="s">
        <v>1273</v>
      </c>
      <c r="K760">
        <v>13.39</v>
      </c>
      <c r="L760">
        <v>2.59</v>
      </c>
      <c r="M760" s="1" t="s">
        <v>20</v>
      </c>
      <c r="N760" s="1" t="s">
        <v>446</v>
      </c>
    </row>
    <row r="761" spans="1:14" x14ac:dyDescent="0.25">
      <c r="A761" t="s">
        <v>1927</v>
      </c>
      <c r="B761" t="s">
        <v>1609</v>
      </c>
      <c r="C761" t="s">
        <v>448</v>
      </c>
      <c r="D761" s="4">
        <v>3.9697901640030599E-2</v>
      </c>
      <c r="E761" s="3">
        <v>14096.8687442175</v>
      </c>
      <c r="H761" t="s">
        <v>815</v>
      </c>
      <c r="I761" t="s">
        <v>1274</v>
      </c>
      <c r="J761" t="s">
        <v>742</v>
      </c>
      <c r="K761">
        <v>7.01</v>
      </c>
      <c r="L761">
        <v>2.59</v>
      </c>
      <c r="M761" s="1" t="s">
        <v>20</v>
      </c>
      <c r="N761" s="1" t="s">
        <v>446</v>
      </c>
    </row>
    <row r="762" spans="1:14" x14ac:dyDescent="0.25">
      <c r="A762" t="s">
        <v>1935</v>
      </c>
      <c r="B762" t="s">
        <v>1609</v>
      </c>
      <c r="C762" t="s">
        <v>9</v>
      </c>
      <c r="D762" s="4">
        <v>3.6117427138856302E-2</v>
      </c>
      <c r="E762" s="3">
        <v>146302.38336144199</v>
      </c>
      <c r="F762" s="3">
        <f>E762/7.8</f>
        <v>18756.715815569485</v>
      </c>
      <c r="G762" s="3">
        <f>F762/2</f>
        <v>9378.3579077847426</v>
      </c>
      <c r="H762" t="s">
        <v>76</v>
      </c>
      <c r="I762" t="s">
        <v>208</v>
      </c>
      <c r="J762" t="s">
        <v>1262</v>
      </c>
      <c r="K762">
        <v>13.39</v>
      </c>
      <c r="L762">
        <v>2.528</v>
      </c>
      <c r="M762" s="1" t="s">
        <v>20</v>
      </c>
      <c r="N762" s="1" t="s">
        <v>446</v>
      </c>
    </row>
    <row r="763" spans="1:14" x14ac:dyDescent="0.25">
      <c r="A763" t="s">
        <v>1935</v>
      </c>
      <c r="B763" t="s">
        <v>1609</v>
      </c>
      <c r="C763" t="s">
        <v>448</v>
      </c>
      <c r="D763" s="4">
        <v>3.60698069097697E-2</v>
      </c>
      <c r="E763" s="3">
        <v>18475.174246732</v>
      </c>
      <c r="H763" t="s">
        <v>46</v>
      </c>
      <c r="I763" t="s">
        <v>1263</v>
      </c>
      <c r="J763" t="s">
        <v>1264</v>
      </c>
      <c r="K763">
        <v>7.01</v>
      </c>
      <c r="L763">
        <v>2.528</v>
      </c>
      <c r="M763" s="1" t="s">
        <v>20</v>
      </c>
      <c r="N763" s="1" t="s">
        <v>446</v>
      </c>
    </row>
    <row r="764" spans="1:14" x14ac:dyDescent="0.25">
      <c r="A764" t="s">
        <v>1942</v>
      </c>
      <c r="B764" t="s">
        <v>1609</v>
      </c>
      <c r="C764" t="s">
        <v>9</v>
      </c>
      <c r="D764" s="4">
        <v>3.9967151186030399E-2</v>
      </c>
      <c r="E764" s="3">
        <v>1361621.1999189099</v>
      </c>
      <c r="F764" s="3">
        <f>E764/7.8</f>
        <v>174566.82050242435</v>
      </c>
      <c r="G764" s="3">
        <f>F764/2</f>
        <v>87283.410251212175</v>
      </c>
      <c r="H764" t="s">
        <v>622</v>
      </c>
      <c r="I764" t="s">
        <v>1137</v>
      </c>
      <c r="J764" t="s">
        <v>1138</v>
      </c>
      <c r="K764">
        <v>14.03</v>
      </c>
      <c r="L764">
        <v>2.6339999999999999</v>
      </c>
      <c r="M764" s="1">
        <v>100</v>
      </c>
      <c r="N764" s="1" t="s">
        <v>446</v>
      </c>
    </row>
    <row r="765" spans="1:14" x14ac:dyDescent="0.25">
      <c r="A765" t="s">
        <v>1942</v>
      </c>
      <c r="B765" t="s">
        <v>1609</v>
      </c>
      <c r="C765" t="s">
        <v>448</v>
      </c>
      <c r="D765" s="4">
        <v>0.101492861494695</v>
      </c>
      <c r="E765" s="3">
        <v>179151.02005738</v>
      </c>
      <c r="H765" t="s">
        <v>136</v>
      </c>
      <c r="I765" t="s">
        <v>1139</v>
      </c>
      <c r="J765" t="s">
        <v>1140</v>
      </c>
      <c r="K765">
        <v>7.65</v>
      </c>
      <c r="L765">
        <v>2.6339999999999999</v>
      </c>
      <c r="M765" s="1">
        <v>100</v>
      </c>
      <c r="N765" s="1" t="s">
        <v>446</v>
      </c>
    </row>
    <row r="766" spans="1:14" x14ac:dyDescent="0.25">
      <c r="A766" t="s">
        <v>1943</v>
      </c>
      <c r="B766" t="s">
        <v>1609</v>
      </c>
      <c r="C766" t="s">
        <v>9</v>
      </c>
      <c r="D766" s="4">
        <v>5.3498067494336499E-2</v>
      </c>
      <c r="E766" s="3">
        <v>189541.52323810101</v>
      </c>
      <c r="F766" s="3">
        <f>E766/7.8</f>
        <v>24300.195286936028</v>
      </c>
      <c r="G766" s="3">
        <f>F766/2</f>
        <v>12150.097643468014</v>
      </c>
      <c r="H766" t="s">
        <v>130</v>
      </c>
      <c r="I766" t="s">
        <v>1103</v>
      </c>
      <c r="J766" t="s">
        <v>1104</v>
      </c>
      <c r="K766">
        <v>12.75</v>
      </c>
      <c r="L766">
        <v>2.6909999999999998</v>
      </c>
      <c r="M766" s="1" t="s">
        <v>20</v>
      </c>
      <c r="N766" s="1" t="s">
        <v>446</v>
      </c>
    </row>
    <row r="767" spans="1:14" x14ac:dyDescent="0.25">
      <c r="A767" t="s">
        <v>1943</v>
      </c>
      <c r="B767" t="s">
        <v>1609</v>
      </c>
      <c r="C767" t="s">
        <v>448</v>
      </c>
      <c r="D767" s="4">
        <v>3.2249284153839E-2</v>
      </c>
      <c r="E767" s="3">
        <v>23478.631197380499</v>
      </c>
      <c r="H767" t="s">
        <v>130</v>
      </c>
      <c r="I767" t="s">
        <v>1105</v>
      </c>
      <c r="J767" t="s">
        <v>1106</v>
      </c>
      <c r="K767">
        <v>7.01</v>
      </c>
      <c r="L767">
        <v>2.6909999999999998</v>
      </c>
      <c r="M767" s="1" t="s">
        <v>20</v>
      </c>
      <c r="N767" s="1" t="s">
        <v>446</v>
      </c>
    </row>
    <row r="768" spans="1:14" x14ac:dyDescent="0.25">
      <c r="A768" t="s">
        <v>1944</v>
      </c>
      <c r="B768" t="s">
        <v>1609</v>
      </c>
      <c r="C768" t="s">
        <v>9</v>
      </c>
      <c r="D768" s="4">
        <v>3.5759716632546901E-2</v>
      </c>
      <c r="E768" s="3">
        <v>1409427.0751225301</v>
      </c>
      <c r="F768" s="3">
        <f>E768/7.8</f>
        <v>180695.77886186284</v>
      </c>
      <c r="G768" s="3">
        <f>F768/2</f>
        <v>90347.88943093142</v>
      </c>
      <c r="H768" t="s">
        <v>56</v>
      </c>
      <c r="I768" t="s">
        <v>208</v>
      </c>
      <c r="J768" t="s">
        <v>1141</v>
      </c>
      <c r="K768">
        <v>12.75</v>
      </c>
      <c r="L768">
        <v>2.5960000000000001</v>
      </c>
      <c r="M768" s="1">
        <v>10</v>
      </c>
      <c r="N768" s="1" t="s">
        <v>446</v>
      </c>
    </row>
    <row r="769" spans="1:14" x14ac:dyDescent="0.25">
      <c r="A769" t="s">
        <v>1944</v>
      </c>
      <c r="B769" t="s">
        <v>1609</v>
      </c>
      <c r="C769" t="s">
        <v>448</v>
      </c>
      <c r="D769" s="4">
        <v>3.8517717303299601E-2</v>
      </c>
      <c r="E769" s="3">
        <v>151953.019286063</v>
      </c>
      <c r="H769" t="s">
        <v>435</v>
      </c>
      <c r="I769" t="s">
        <v>1142</v>
      </c>
      <c r="J769" t="s">
        <v>1143</v>
      </c>
      <c r="K769">
        <v>7.01</v>
      </c>
      <c r="L769">
        <v>2.5960000000000001</v>
      </c>
      <c r="M769" s="1">
        <v>10</v>
      </c>
      <c r="N769" s="1" t="s">
        <v>446</v>
      </c>
    </row>
    <row r="770" spans="1:14" x14ac:dyDescent="0.25">
      <c r="A770" t="s">
        <v>1945</v>
      </c>
      <c r="B770" t="s">
        <v>1609</v>
      </c>
      <c r="C770" t="s">
        <v>9</v>
      </c>
      <c r="D770" s="4">
        <v>3.8741176964749199E-2</v>
      </c>
      <c r="E770" s="3">
        <v>14512402.199810799</v>
      </c>
      <c r="F770" s="3">
        <f>E770/7.8</f>
        <v>1860564.3845911282</v>
      </c>
      <c r="G770" s="3">
        <f>F770/2</f>
        <v>930282.19229556411</v>
      </c>
      <c r="H770" t="s">
        <v>358</v>
      </c>
      <c r="I770" t="s">
        <v>1107</v>
      </c>
      <c r="J770" t="s">
        <v>1108</v>
      </c>
      <c r="K770">
        <v>15.3</v>
      </c>
      <c r="L770">
        <v>2.7389999999999999</v>
      </c>
      <c r="M770" s="1">
        <v>100</v>
      </c>
      <c r="N770" s="1" t="s">
        <v>446</v>
      </c>
    </row>
    <row r="771" spans="1:14" x14ac:dyDescent="0.25">
      <c r="A771" t="s">
        <v>1945</v>
      </c>
      <c r="B771" t="s">
        <v>1609</v>
      </c>
      <c r="C771" t="s">
        <v>448</v>
      </c>
      <c r="D771" s="4">
        <v>3.5572055924726897E-2</v>
      </c>
      <c r="E771" s="3">
        <v>1787001.8061277501</v>
      </c>
      <c r="H771" t="s">
        <v>799</v>
      </c>
      <c r="I771" t="s">
        <v>1109</v>
      </c>
      <c r="J771" t="s">
        <v>1110</v>
      </c>
      <c r="K771">
        <v>7.01</v>
      </c>
      <c r="L771">
        <v>2.7389999999999999</v>
      </c>
      <c r="M771" s="1">
        <v>100</v>
      </c>
      <c r="N771" s="1" t="s">
        <v>446</v>
      </c>
    </row>
    <row r="772" spans="1:14" x14ac:dyDescent="0.25">
      <c r="A772" t="s">
        <v>1949</v>
      </c>
      <c r="B772" t="s">
        <v>1609</v>
      </c>
      <c r="C772" t="s">
        <v>9</v>
      </c>
      <c r="D772" s="4">
        <v>2.6936533620957801E-2</v>
      </c>
      <c r="E772" s="3">
        <v>735327.41265571699</v>
      </c>
      <c r="F772" s="3">
        <f>E772/7.8</f>
        <v>94272.745212271417</v>
      </c>
      <c r="G772" s="3">
        <f>F772/2</f>
        <v>47136.372606135708</v>
      </c>
      <c r="H772" t="s">
        <v>17</v>
      </c>
      <c r="I772" t="s">
        <v>1188</v>
      </c>
      <c r="J772" t="s">
        <v>1189</v>
      </c>
      <c r="K772">
        <v>13.39</v>
      </c>
      <c r="L772">
        <v>2.5009999999999999</v>
      </c>
      <c r="M772" s="1">
        <v>10</v>
      </c>
      <c r="N772" s="1" t="s">
        <v>446</v>
      </c>
    </row>
    <row r="773" spans="1:14" x14ac:dyDescent="0.25">
      <c r="A773" t="s">
        <v>1949</v>
      </c>
      <c r="B773" t="s">
        <v>1609</v>
      </c>
      <c r="C773" t="s">
        <v>448</v>
      </c>
      <c r="D773" s="4">
        <v>4.8869635345915798E-2</v>
      </c>
      <c r="E773" s="3">
        <v>89074.270874264403</v>
      </c>
      <c r="H773" t="s">
        <v>59</v>
      </c>
      <c r="I773" t="s">
        <v>187</v>
      </c>
      <c r="J773" t="s">
        <v>1190</v>
      </c>
      <c r="K773">
        <v>7.01</v>
      </c>
      <c r="L773">
        <v>2.5009999999999999</v>
      </c>
      <c r="M773" s="1">
        <v>10</v>
      </c>
      <c r="N773" s="1" t="s">
        <v>446</v>
      </c>
    </row>
    <row r="774" spans="1:14" x14ac:dyDescent="0.25">
      <c r="A774" t="s">
        <v>1957</v>
      </c>
      <c r="B774" t="s">
        <v>1609</v>
      </c>
      <c r="C774" t="s">
        <v>9</v>
      </c>
      <c r="D774" s="4">
        <v>3.0532057362816601E-2</v>
      </c>
      <c r="E774" s="3">
        <v>112605.94191082699</v>
      </c>
      <c r="F774" s="3">
        <f>E774/7.8</f>
        <v>14436.659219336794</v>
      </c>
      <c r="G774" s="3">
        <f>F774/2</f>
        <v>7218.3296096683971</v>
      </c>
      <c r="H774" t="s">
        <v>284</v>
      </c>
      <c r="I774" t="s">
        <v>1307</v>
      </c>
      <c r="J774" t="s">
        <v>1308</v>
      </c>
      <c r="K774">
        <v>12.11</v>
      </c>
      <c r="L774">
        <v>2.5739999999999998</v>
      </c>
      <c r="M774" s="1" t="s">
        <v>20</v>
      </c>
      <c r="N774" s="1" t="s">
        <v>446</v>
      </c>
    </row>
    <row r="775" spans="1:14" x14ac:dyDescent="0.25">
      <c r="A775" t="s">
        <v>1957</v>
      </c>
      <c r="B775" t="s">
        <v>1609</v>
      </c>
      <c r="C775" t="s">
        <v>448</v>
      </c>
      <c r="D775" s="4">
        <v>3.8013825574978802E-2</v>
      </c>
      <c r="E775" s="3">
        <v>15780.573474229501</v>
      </c>
      <c r="H775" t="s">
        <v>50</v>
      </c>
      <c r="I775" t="s">
        <v>1309</v>
      </c>
      <c r="J775" t="s">
        <v>182</v>
      </c>
      <c r="K775">
        <v>7.01</v>
      </c>
      <c r="L775">
        <v>2.5739999999999998</v>
      </c>
      <c r="M775" s="1" t="s">
        <v>20</v>
      </c>
      <c r="N775" s="1" t="s">
        <v>446</v>
      </c>
    </row>
    <row r="776" spans="1:14" x14ac:dyDescent="0.25">
      <c r="A776" t="s">
        <v>1968</v>
      </c>
      <c r="B776" t="s">
        <v>1609</v>
      </c>
      <c r="C776" t="s">
        <v>9</v>
      </c>
      <c r="D776" s="4">
        <v>2.9230766258713899E-2</v>
      </c>
      <c r="E776" s="3">
        <v>3436457.8506223899</v>
      </c>
      <c r="F776" s="3">
        <f>E776/7.8</f>
        <v>440571.51931056281</v>
      </c>
      <c r="G776" s="3">
        <f>F776/2</f>
        <v>220285.75965528141</v>
      </c>
      <c r="H776" t="s">
        <v>124</v>
      </c>
      <c r="I776" t="s">
        <v>1310</v>
      </c>
      <c r="J776" t="s">
        <v>973</v>
      </c>
      <c r="K776">
        <v>13.39</v>
      </c>
      <c r="L776">
        <v>2.569</v>
      </c>
      <c r="M776" s="1">
        <v>100</v>
      </c>
      <c r="N776" s="1" t="s">
        <v>446</v>
      </c>
    </row>
    <row r="777" spans="1:14" x14ac:dyDescent="0.25">
      <c r="A777" t="s">
        <v>1968</v>
      </c>
      <c r="B777" t="s">
        <v>1609</v>
      </c>
      <c r="C777" t="s">
        <v>448</v>
      </c>
      <c r="D777" s="4">
        <v>7.0073472044542007E-2</v>
      </c>
      <c r="E777" s="3">
        <v>395789.913566606</v>
      </c>
      <c r="H777" t="s">
        <v>62</v>
      </c>
      <c r="I777" t="s">
        <v>1311</v>
      </c>
      <c r="J777" t="s">
        <v>1312</v>
      </c>
      <c r="K777">
        <v>8.2899999999999991</v>
      </c>
      <c r="L777">
        <v>2.569</v>
      </c>
      <c r="M777" s="1">
        <v>100</v>
      </c>
      <c r="N777" s="1" t="s">
        <v>446</v>
      </c>
    </row>
    <row r="778" spans="1:14" x14ac:dyDescent="0.25">
      <c r="A778" t="s">
        <v>1970</v>
      </c>
      <c r="B778" t="s">
        <v>1609</v>
      </c>
      <c r="C778" t="s">
        <v>9</v>
      </c>
      <c r="D778" s="4">
        <v>2.6826645346700099E-2</v>
      </c>
      <c r="E778" s="3">
        <v>6275771.7516386202</v>
      </c>
      <c r="F778" s="3">
        <f>E778/7.8</f>
        <v>804586.12200495135</v>
      </c>
      <c r="G778" s="3">
        <f>F778/2</f>
        <v>402293.06100247568</v>
      </c>
      <c r="H778" t="s">
        <v>88</v>
      </c>
      <c r="I778" t="s">
        <v>1285</v>
      </c>
      <c r="J778" t="s">
        <v>1286</v>
      </c>
      <c r="K778">
        <v>14.66</v>
      </c>
      <c r="L778">
        <v>2.6589999999999998</v>
      </c>
      <c r="M778" s="1">
        <v>100</v>
      </c>
      <c r="N778" s="1" t="s">
        <v>446</v>
      </c>
    </row>
    <row r="779" spans="1:14" x14ac:dyDescent="0.25">
      <c r="A779" t="s">
        <v>1970</v>
      </c>
      <c r="B779" t="s">
        <v>1609</v>
      </c>
      <c r="C779" t="s">
        <v>448</v>
      </c>
      <c r="D779" s="4">
        <v>5.0165215713675798E-2</v>
      </c>
      <c r="E779" s="3">
        <v>791597.41893429297</v>
      </c>
      <c r="H779" t="s">
        <v>192</v>
      </c>
      <c r="I779" t="s">
        <v>1287</v>
      </c>
      <c r="J779" t="s">
        <v>1288</v>
      </c>
      <c r="K779">
        <v>8.2899999999999991</v>
      </c>
      <c r="L779">
        <v>2.6589999999999998</v>
      </c>
      <c r="M779" s="1">
        <v>100</v>
      </c>
      <c r="N779" s="1" t="s">
        <v>446</v>
      </c>
    </row>
    <row r="780" spans="1:14" x14ac:dyDescent="0.25">
      <c r="A780" t="s">
        <v>1971</v>
      </c>
      <c r="B780" t="s">
        <v>1609</v>
      </c>
      <c r="C780" t="s">
        <v>9</v>
      </c>
      <c r="D780" s="4">
        <v>2.7755456204442999E-2</v>
      </c>
      <c r="E780" s="3">
        <v>8515830.3944693301</v>
      </c>
      <c r="F780" s="3">
        <f>E780/7.8</f>
        <v>1091773.1274960679</v>
      </c>
      <c r="G780" s="3">
        <f>F780/2</f>
        <v>545886.56374803395</v>
      </c>
      <c r="H780" t="s">
        <v>136</v>
      </c>
      <c r="I780" t="s">
        <v>1265</v>
      </c>
      <c r="J780" t="s">
        <v>1266</v>
      </c>
      <c r="K780">
        <v>12.11</v>
      </c>
      <c r="L780">
        <v>2.6190000000000002</v>
      </c>
      <c r="M780" s="1">
        <v>100</v>
      </c>
      <c r="N780" s="1" t="s">
        <v>446</v>
      </c>
    </row>
    <row r="781" spans="1:14" x14ac:dyDescent="0.25">
      <c r="A781" t="s">
        <v>1971</v>
      </c>
      <c r="B781" t="s">
        <v>1609</v>
      </c>
      <c r="C781" t="s">
        <v>448</v>
      </c>
      <c r="D781" s="4">
        <v>4.4739342541955003E-2</v>
      </c>
      <c r="E781" s="3">
        <v>1050087.1363773099</v>
      </c>
      <c r="H781" t="s">
        <v>732</v>
      </c>
      <c r="I781" t="s">
        <v>260</v>
      </c>
      <c r="J781" t="s">
        <v>1267</v>
      </c>
      <c r="K781">
        <v>7.01</v>
      </c>
      <c r="L781">
        <v>2.6190000000000002</v>
      </c>
      <c r="M781" s="1">
        <v>100</v>
      </c>
      <c r="N781" s="1" t="s">
        <v>446</v>
      </c>
    </row>
    <row r="782" spans="1:14" x14ac:dyDescent="0.25">
      <c r="A782" t="s">
        <v>1972</v>
      </c>
      <c r="B782" t="s">
        <v>1609</v>
      </c>
      <c r="C782" t="s">
        <v>9</v>
      </c>
      <c r="D782" s="4">
        <v>2.6833520362358101E-2</v>
      </c>
      <c r="E782" s="3">
        <v>6025159.5008214097</v>
      </c>
      <c r="F782" s="3">
        <f>E782/7.8</f>
        <v>772456.34625915508</v>
      </c>
      <c r="G782" s="3">
        <f>F782/2</f>
        <v>386228.17312957754</v>
      </c>
      <c r="H782" t="s">
        <v>114</v>
      </c>
      <c r="I782" t="s">
        <v>1206</v>
      </c>
      <c r="J782" t="s">
        <v>1207</v>
      </c>
      <c r="K782">
        <v>13.39</v>
      </c>
      <c r="L782">
        <v>2.4900000000000002</v>
      </c>
      <c r="M782" s="1">
        <v>100</v>
      </c>
      <c r="N782" s="1" t="s">
        <v>446</v>
      </c>
    </row>
    <row r="783" spans="1:14" x14ac:dyDescent="0.25">
      <c r="A783" t="s">
        <v>1972</v>
      </c>
      <c r="B783" t="s">
        <v>1609</v>
      </c>
      <c r="C783" t="s">
        <v>448</v>
      </c>
      <c r="D783" s="4">
        <v>5.5992434268283903E-2</v>
      </c>
      <c r="E783" s="3">
        <v>660102.97110679105</v>
      </c>
      <c r="H783" t="s">
        <v>136</v>
      </c>
      <c r="I783" t="s">
        <v>1208</v>
      </c>
      <c r="J783" t="s">
        <v>1209</v>
      </c>
      <c r="K783">
        <v>7.01</v>
      </c>
      <c r="L783">
        <v>2.4900000000000002</v>
      </c>
      <c r="M783" s="1">
        <v>100</v>
      </c>
      <c r="N783" s="1" t="s">
        <v>446</v>
      </c>
    </row>
    <row r="784" spans="1:14" x14ac:dyDescent="0.25">
      <c r="A784" t="s">
        <v>1981</v>
      </c>
      <c r="B784" t="s">
        <v>1609</v>
      </c>
      <c r="C784" t="s">
        <v>9</v>
      </c>
      <c r="D784" s="4">
        <v>3.2451440193151701E-2</v>
      </c>
      <c r="E784" s="3">
        <v>1250345.7087358099</v>
      </c>
      <c r="F784" s="3">
        <f>E784/7.8</f>
        <v>160300.73188920639</v>
      </c>
      <c r="G784" s="3">
        <f>F784/2</f>
        <v>80150.365944603196</v>
      </c>
      <c r="H784" t="s">
        <v>198</v>
      </c>
      <c r="I784" t="s">
        <v>1144</v>
      </c>
      <c r="J784" t="s">
        <v>673</v>
      </c>
      <c r="K784">
        <v>14.66</v>
      </c>
      <c r="L784">
        <v>2.5739999999999998</v>
      </c>
      <c r="M784" s="1">
        <v>10</v>
      </c>
      <c r="N784" s="1" t="s">
        <v>446</v>
      </c>
    </row>
    <row r="785" spans="1:14" x14ac:dyDescent="0.25">
      <c r="A785" t="s">
        <v>1981</v>
      </c>
      <c r="B785" t="s">
        <v>1609</v>
      </c>
      <c r="C785" t="s">
        <v>448</v>
      </c>
      <c r="D785" s="4">
        <v>3.7437894238793797E-2</v>
      </c>
      <c r="E785" s="3">
        <v>165085.69627151001</v>
      </c>
      <c r="H785" t="s">
        <v>1145</v>
      </c>
      <c r="I785" t="s">
        <v>1146</v>
      </c>
      <c r="J785" t="s">
        <v>1147</v>
      </c>
      <c r="K785">
        <v>7.01</v>
      </c>
      <c r="L785">
        <v>2.5739999999999998</v>
      </c>
      <c r="M785" s="1">
        <v>10</v>
      </c>
      <c r="N785" s="1" t="s">
        <v>446</v>
      </c>
    </row>
    <row r="786" spans="1:14" x14ac:dyDescent="0.25">
      <c r="A786" t="s">
        <v>1982</v>
      </c>
      <c r="B786" t="s">
        <v>1609</v>
      </c>
      <c r="C786" t="s">
        <v>9</v>
      </c>
      <c r="D786" s="4">
        <v>4.3991166603290097E-2</v>
      </c>
      <c r="E786" s="3">
        <v>16368760.8500257</v>
      </c>
      <c r="F786" s="3">
        <f>E786/7.8</f>
        <v>2098559.0833366285</v>
      </c>
      <c r="G786" s="3">
        <f>F786/2</f>
        <v>1049279.5416683143</v>
      </c>
      <c r="H786" t="s">
        <v>177</v>
      </c>
      <c r="I786" t="s">
        <v>1111</v>
      </c>
      <c r="J786" t="s">
        <v>1112</v>
      </c>
      <c r="K786">
        <v>17.21</v>
      </c>
      <c r="L786">
        <v>2.7149999999999999</v>
      </c>
      <c r="M786" s="1">
        <v>100</v>
      </c>
      <c r="N786" s="1" t="s">
        <v>446</v>
      </c>
    </row>
    <row r="787" spans="1:14" x14ac:dyDescent="0.25">
      <c r="A787" t="s">
        <v>1982</v>
      </c>
      <c r="B787" t="s">
        <v>1609</v>
      </c>
      <c r="C787" t="s">
        <v>448</v>
      </c>
      <c r="D787" s="4">
        <v>3.63819641743032E-2</v>
      </c>
      <c r="E787" s="3">
        <v>1692420.4172264901</v>
      </c>
      <c r="H787" t="s">
        <v>21</v>
      </c>
      <c r="I787" t="s">
        <v>1113</v>
      </c>
      <c r="J787" t="s">
        <v>1114</v>
      </c>
      <c r="K787">
        <v>7.01</v>
      </c>
      <c r="L787">
        <v>2.7149999999999999</v>
      </c>
      <c r="M787" s="1">
        <v>100</v>
      </c>
      <c r="N787" s="1" t="s">
        <v>446</v>
      </c>
    </row>
    <row r="788" spans="1:14" x14ac:dyDescent="0.25">
      <c r="A788" t="s">
        <v>1986</v>
      </c>
      <c r="B788" t="s">
        <v>1609</v>
      </c>
      <c r="C788" t="s">
        <v>9</v>
      </c>
      <c r="D788" s="4">
        <v>5.4474131114617998E-2</v>
      </c>
      <c r="E788" s="3">
        <v>19185403.4950567</v>
      </c>
      <c r="F788" s="3">
        <f>E788/7.8</f>
        <v>2459667.1147508589</v>
      </c>
      <c r="G788" s="3">
        <f>F788/2</f>
        <v>1229833.5573754294</v>
      </c>
      <c r="H788" t="s">
        <v>893</v>
      </c>
      <c r="I788" t="s">
        <v>217</v>
      </c>
      <c r="J788" t="s">
        <v>174</v>
      </c>
      <c r="K788">
        <v>10.84</v>
      </c>
      <c r="L788">
        <v>2.6880000000000002</v>
      </c>
      <c r="M788" s="1">
        <v>100</v>
      </c>
      <c r="N788" s="1" t="s">
        <v>446</v>
      </c>
    </row>
    <row r="789" spans="1:14" x14ac:dyDescent="0.25">
      <c r="A789" t="s">
        <v>1986</v>
      </c>
      <c r="B789" t="s">
        <v>1609</v>
      </c>
      <c r="C789" t="s">
        <v>448</v>
      </c>
      <c r="D789" s="4">
        <v>3.2062174809365997E-2</v>
      </c>
      <c r="E789" s="3">
        <v>2391713.9756261399</v>
      </c>
      <c r="H789" t="s">
        <v>893</v>
      </c>
      <c r="I789" t="s">
        <v>1289</v>
      </c>
      <c r="J789" t="s">
        <v>1290</v>
      </c>
      <c r="K789">
        <v>7.01</v>
      </c>
      <c r="L789">
        <v>2.6880000000000002</v>
      </c>
      <c r="M789" s="1">
        <v>100</v>
      </c>
      <c r="N789" s="1" t="s">
        <v>446</v>
      </c>
    </row>
    <row r="790" spans="1:14" x14ac:dyDescent="0.25">
      <c r="A790" t="s">
        <v>1987</v>
      </c>
      <c r="B790" t="s">
        <v>1609</v>
      </c>
      <c r="C790" t="s">
        <v>9</v>
      </c>
      <c r="D790" s="4">
        <v>3.0081759841466799E-2</v>
      </c>
      <c r="E790" s="3">
        <v>1053529.11831258</v>
      </c>
      <c r="F790" s="3">
        <f>E790/7.8</f>
        <v>135067.8356811</v>
      </c>
      <c r="G790" s="3">
        <f>F790/2</f>
        <v>67533.917840549999</v>
      </c>
      <c r="H790" t="s">
        <v>71</v>
      </c>
      <c r="I790" t="s">
        <v>1313</v>
      </c>
      <c r="J790" t="s">
        <v>1314</v>
      </c>
      <c r="K790">
        <v>15.3</v>
      </c>
      <c r="L790">
        <v>2.6680000000000001</v>
      </c>
      <c r="M790" s="1">
        <v>10</v>
      </c>
      <c r="N790" s="1" t="s">
        <v>446</v>
      </c>
    </row>
    <row r="791" spans="1:14" x14ac:dyDescent="0.25">
      <c r="A791" t="s">
        <v>1987</v>
      </c>
      <c r="B791" t="s">
        <v>1609</v>
      </c>
      <c r="C791" t="s">
        <v>448</v>
      </c>
      <c r="D791" s="4">
        <v>3.8936196133233701E-2</v>
      </c>
      <c r="E791" s="3">
        <v>143306.96859747299</v>
      </c>
      <c r="H791" t="s">
        <v>392</v>
      </c>
      <c r="I791" t="s">
        <v>1315</v>
      </c>
      <c r="J791" t="s">
        <v>1316</v>
      </c>
      <c r="K791">
        <v>7.01</v>
      </c>
      <c r="L791">
        <v>2.6680000000000001</v>
      </c>
      <c r="M791" s="1">
        <v>10</v>
      </c>
      <c r="N791" s="1" t="s">
        <v>446</v>
      </c>
    </row>
    <row r="792" spans="1:14" x14ac:dyDescent="0.25">
      <c r="A792" t="s">
        <v>1989</v>
      </c>
      <c r="B792" t="s">
        <v>1609</v>
      </c>
      <c r="C792" t="s">
        <v>9</v>
      </c>
      <c r="D792" s="4">
        <v>4.8730440903304702E-2</v>
      </c>
      <c r="E792" s="3">
        <v>18852396.280291699</v>
      </c>
      <c r="F792" s="3">
        <f>E792/7.8</f>
        <v>2416973.8820886794</v>
      </c>
      <c r="G792" s="3">
        <f>F792/2</f>
        <v>1208486.9410443397</v>
      </c>
      <c r="H792" t="s">
        <v>114</v>
      </c>
      <c r="I792" t="s">
        <v>42</v>
      </c>
      <c r="J792" t="s">
        <v>1191</v>
      </c>
      <c r="K792">
        <v>14.66</v>
      </c>
      <c r="L792">
        <v>2.548</v>
      </c>
      <c r="M792" s="1">
        <v>100</v>
      </c>
      <c r="N792" s="1" t="s">
        <v>446</v>
      </c>
    </row>
    <row r="793" spans="1:14" x14ac:dyDescent="0.25">
      <c r="A793" t="s">
        <v>1989</v>
      </c>
      <c r="B793" t="s">
        <v>1609</v>
      </c>
      <c r="C793" t="s">
        <v>448</v>
      </c>
      <c r="D793" s="4">
        <v>3.1591975574062202E-2</v>
      </c>
      <c r="E793" s="3">
        <v>2637221.7695124298</v>
      </c>
      <c r="H793" t="s">
        <v>114</v>
      </c>
      <c r="I793" t="s">
        <v>1192</v>
      </c>
      <c r="J793" t="s">
        <v>1193</v>
      </c>
      <c r="K793">
        <v>7.01</v>
      </c>
      <c r="L793">
        <v>2.548</v>
      </c>
      <c r="M793" s="1">
        <v>100</v>
      </c>
      <c r="N793" s="1" t="s">
        <v>446</v>
      </c>
    </row>
    <row r="794" spans="1:14" x14ac:dyDescent="0.25">
      <c r="A794" t="s">
        <v>1993</v>
      </c>
      <c r="B794" t="s">
        <v>1609</v>
      </c>
      <c r="C794" t="s">
        <v>9</v>
      </c>
      <c r="D794" s="4">
        <v>3.3835491317795098E-2</v>
      </c>
      <c r="E794" s="3">
        <v>1250755.7978397501</v>
      </c>
      <c r="F794" s="3">
        <f>E794/7.8</f>
        <v>160353.30741535258</v>
      </c>
      <c r="G794" s="3">
        <f>F794/2</f>
        <v>80176.653707676291</v>
      </c>
      <c r="H794" t="s">
        <v>634</v>
      </c>
      <c r="I794" t="s">
        <v>1006</v>
      </c>
      <c r="J794" t="s">
        <v>1347</v>
      </c>
      <c r="K794">
        <v>12.11</v>
      </c>
      <c r="L794">
        <v>2.7250000000000001</v>
      </c>
      <c r="M794" s="1">
        <v>10</v>
      </c>
      <c r="N794" s="1" t="s">
        <v>446</v>
      </c>
    </row>
    <row r="795" spans="1:14" x14ac:dyDescent="0.25">
      <c r="A795" t="s">
        <v>1993</v>
      </c>
      <c r="B795" t="s">
        <v>1609</v>
      </c>
      <c r="C795" t="s">
        <v>448</v>
      </c>
      <c r="D795" s="4">
        <v>3.8051046117701298E-2</v>
      </c>
      <c r="E795" s="3">
        <v>149616.63086586501</v>
      </c>
      <c r="H795" t="s">
        <v>156</v>
      </c>
      <c r="I795" t="s">
        <v>1348</v>
      </c>
      <c r="J795" t="s">
        <v>1349</v>
      </c>
      <c r="K795">
        <v>8.2899999999999991</v>
      </c>
      <c r="L795">
        <v>2.7250000000000001</v>
      </c>
      <c r="M795" s="1">
        <v>10</v>
      </c>
      <c r="N795" s="1" t="s">
        <v>446</v>
      </c>
    </row>
    <row r="796" spans="1:14" x14ac:dyDescent="0.25">
      <c r="A796" t="s">
        <v>2004</v>
      </c>
      <c r="B796" t="s">
        <v>1609</v>
      </c>
      <c r="C796" t="s">
        <v>9</v>
      </c>
      <c r="D796" s="4">
        <v>2.7154863614982701E-2</v>
      </c>
      <c r="E796" s="3">
        <v>738674.37832646701</v>
      </c>
      <c r="F796" s="3">
        <f>E796/7.8</f>
        <v>94701.84337518808</v>
      </c>
      <c r="G796" s="3">
        <f>F796/2</f>
        <v>47350.92168759404</v>
      </c>
      <c r="H796" t="s">
        <v>17</v>
      </c>
      <c r="I796" t="s">
        <v>1268</v>
      </c>
      <c r="J796" t="s">
        <v>1269</v>
      </c>
      <c r="K796">
        <v>12.11</v>
      </c>
      <c r="L796">
        <v>2.6840000000000002</v>
      </c>
      <c r="M796" s="1">
        <v>10</v>
      </c>
      <c r="N796" s="1" t="s">
        <v>446</v>
      </c>
    </row>
    <row r="797" spans="1:14" x14ac:dyDescent="0.25">
      <c r="A797" t="s">
        <v>2004</v>
      </c>
      <c r="B797" t="s">
        <v>1609</v>
      </c>
      <c r="C797" t="s">
        <v>448</v>
      </c>
      <c r="D797" s="4">
        <v>4.5718983310156301E-2</v>
      </c>
      <c r="E797" s="3">
        <v>97173.767878844505</v>
      </c>
      <c r="H797" t="s">
        <v>887</v>
      </c>
      <c r="I797" t="s">
        <v>1270</v>
      </c>
      <c r="J797" t="s">
        <v>1271</v>
      </c>
      <c r="K797">
        <v>7.01</v>
      </c>
      <c r="L797">
        <v>2.6840000000000002</v>
      </c>
      <c r="M797" s="1">
        <v>10</v>
      </c>
      <c r="N797" s="1" t="s">
        <v>446</v>
      </c>
    </row>
    <row r="798" spans="1:14" x14ac:dyDescent="0.25">
      <c r="A798" t="s">
        <v>2005</v>
      </c>
      <c r="B798" t="s">
        <v>1609</v>
      </c>
      <c r="C798" t="s">
        <v>9</v>
      </c>
      <c r="D798" s="4">
        <v>3.1637530234488197E-2</v>
      </c>
      <c r="E798" s="3">
        <v>119766.425811251</v>
      </c>
      <c r="F798" s="3">
        <f>E798/7.8</f>
        <v>15354.669975801411</v>
      </c>
      <c r="G798" s="3">
        <f>F798/2</f>
        <v>7677.3349879007055</v>
      </c>
      <c r="H798" t="s">
        <v>634</v>
      </c>
      <c r="I798" t="s">
        <v>1291</v>
      </c>
      <c r="J798" t="s">
        <v>1292</v>
      </c>
      <c r="K798">
        <v>12.11</v>
      </c>
      <c r="L798">
        <v>2.5739999999999998</v>
      </c>
      <c r="M798" s="1" t="s">
        <v>20</v>
      </c>
      <c r="N798" s="1" t="s">
        <v>446</v>
      </c>
    </row>
    <row r="799" spans="1:14" x14ac:dyDescent="0.25">
      <c r="A799" t="s">
        <v>2005</v>
      </c>
      <c r="B799" t="s">
        <v>1609</v>
      </c>
      <c r="C799" t="s">
        <v>448</v>
      </c>
      <c r="D799" s="4">
        <v>3.8916486548465599E-2</v>
      </c>
      <c r="E799" s="3">
        <v>14952.4693967564</v>
      </c>
      <c r="H799" t="s">
        <v>1293</v>
      </c>
      <c r="I799" t="s">
        <v>1294</v>
      </c>
      <c r="J799" t="s">
        <v>1295</v>
      </c>
      <c r="K799">
        <v>8.2899999999999991</v>
      </c>
      <c r="L799">
        <v>2.5739999999999998</v>
      </c>
      <c r="M799" s="1" t="s">
        <v>20</v>
      </c>
      <c r="N799" s="1" t="s">
        <v>446</v>
      </c>
    </row>
    <row r="800" spans="1:14" x14ac:dyDescent="0.25">
      <c r="A800" t="s">
        <v>2020</v>
      </c>
      <c r="B800" t="s">
        <v>1609</v>
      </c>
      <c r="C800" t="s">
        <v>9</v>
      </c>
      <c r="D800" s="4">
        <v>2.7199013083931502E-2</v>
      </c>
      <c r="E800" s="3">
        <v>48801.6324754784</v>
      </c>
      <c r="F800" s="3">
        <f>E800/7.8</f>
        <v>6256.6195481382565</v>
      </c>
      <c r="G800" s="3">
        <f>F800/2</f>
        <v>3128.3097740691283</v>
      </c>
      <c r="H800" t="s">
        <v>284</v>
      </c>
      <c r="I800" t="s">
        <v>1194</v>
      </c>
      <c r="J800" t="s">
        <v>1195</v>
      </c>
      <c r="K800">
        <v>14.66</v>
      </c>
      <c r="L800">
        <v>2.6320000000000001</v>
      </c>
      <c r="M800" s="1" t="s">
        <v>20</v>
      </c>
      <c r="N800" s="1" t="s">
        <v>446</v>
      </c>
    </row>
    <row r="801" spans="1:14" x14ac:dyDescent="0.25">
      <c r="A801" t="s">
        <v>2020</v>
      </c>
      <c r="B801" t="s">
        <v>1609</v>
      </c>
      <c r="C801" t="s">
        <v>448</v>
      </c>
      <c r="D801" s="4">
        <v>5.8462541037186899E-2</v>
      </c>
      <c r="E801" s="3">
        <v>5683.1838986495204</v>
      </c>
      <c r="H801" t="s">
        <v>71</v>
      </c>
      <c r="I801" t="s">
        <v>1196</v>
      </c>
      <c r="J801" t="s">
        <v>1197</v>
      </c>
      <c r="K801">
        <v>8.2899999999999991</v>
      </c>
      <c r="L801">
        <v>2.6320000000000001</v>
      </c>
      <c r="M801" s="1" t="s">
        <v>20</v>
      </c>
      <c r="N801" s="1" t="s">
        <v>446</v>
      </c>
    </row>
    <row r="802" spans="1:14" x14ac:dyDescent="0.25">
      <c r="A802" t="s">
        <v>2021</v>
      </c>
      <c r="B802" t="s">
        <v>1609</v>
      </c>
      <c r="C802" t="s">
        <v>9</v>
      </c>
      <c r="D802" s="4">
        <v>3.0887365617294299E-2</v>
      </c>
      <c r="E802" s="3">
        <v>116761.001144133</v>
      </c>
      <c r="F802" s="3">
        <f>E802/7.8</f>
        <v>14969.359121042693</v>
      </c>
      <c r="G802" s="3">
        <f>F802/2</f>
        <v>7484.6795605213465</v>
      </c>
      <c r="H802" t="s">
        <v>162</v>
      </c>
      <c r="I802" t="s">
        <v>1148</v>
      </c>
      <c r="J802" t="s">
        <v>1149</v>
      </c>
      <c r="K802">
        <v>14.66</v>
      </c>
      <c r="L802">
        <v>2.5390000000000001</v>
      </c>
      <c r="M802" s="1" t="s">
        <v>20</v>
      </c>
      <c r="N802" s="1" t="s">
        <v>446</v>
      </c>
    </row>
    <row r="803" spans="1:14" x14ac:dyDescent="0.25">
      <c r="A803" t="s">
        <v>2021</v>
      </c>
      <c r="B803" t="s">
        <v>1609</v>
      </c>
      <c r="C803" t="s">
        <v>448</v>
      </c>
      <c r="D803" s="4">
        <v>3.9425380332876202E-2</v>
      </c>
      <c r="E803" s="3">
        <v>14598.4052775809</v>
      </c>
      <c r="H803" t="s">
        <v>392</v>
      </c>
      <c r="I803" t="s">
        <v>1092</v>
      </c>
      <c r="J803" t="s">
        <v>1150</v>
      </c>
      <c r="K803">
        <v>7.01</v>
      </c>
      <c r="L803">
        <v>2.5390000000000001</v>
      </c>
      <c r="M803" s="1" t="s">
        <v>20</v>
      </c>
      <c r="N803" s="1" t="s">
        <v>446</v>
      </c>
    </row>
    <row r="804" spans="1:14" x14ac:dyDescent="0.25">
      <c r="A804" t="s">
        <v>447</v>
      </c>
      <c r="B804" t="s">
        <v>1609</v>
      </c>
      <c r="C804" t="s">
        <v>9</v>
      </c>
      <c r="D804" s="4">
        <v>0</v>
      </c>
      <c r="E804" s="3">
        <v>0</v>
      </c>
      <c r="F804" s="3">
        <f>E804/7.8</f>
        <v>0</v>
      </c>
      <c r="G804" s="3">
        <f>F804/2</f>
        <v>0</v>
      </c>
      <c r="H804" t="s">
        <v>347</v>
      </c>
      <c r="I804" t="s">
        <v>201</v>
      </c>
      <c r="J804" t="s">
        <v>347</v>
      </c>
      <c r="K804">
        <v>13.01</v>
      </c>
      <c r="L804">
        <v>2.4329999999999998</v>
      </c>
      <c r="M804" s="1" t="s">
        <v>20</v>
      </c>
      <c r="N804" s="1" t="s">
        <v>768</v>
      </c>
    </row>
    <row r="805" spans="1:14" x14ac:dyDescent="0.25">
      <c r="A805" t="s">
        <v>447</v>
      </c>
      <c r="B805" t="s">
        <v>1609</v>
      </c>
      <c r="C805" t="s">
        <v>448</v>
      </c>
      <c r="D805" s="4">
        <v>0</v>
      </c>
      <c r="E805" s="3">
        <v>0</v>
      </c>
      <c r="H805" t="s">
        <v>347</v>
      </c>
      <c r="I805" t="s">
        <v>201</v>
      </c>
      <c r="J805" t="s">
        <v>347</v>
      </c>
      <c r="K805">
        <v>6.63</v>
      </c>
      <c r="L805">
        <v>2.4329999999999998</v>
      </c>
      <c r="M805" s="1" t="s">
        <v>20</v>
      </c>
      <c r="N805" s="1" t="s">
        <v>768</v>
      </c>
    </row>
    <row r="806" spans="1:14" x14ac:dyDescent="0.25">
      <c r="A806" t="s">
        <v>1608</v>
      </c>
      <c r="B806" t="s">
        <v>1609</v>
      </c>
      <c r="C806" t="s">
        <v>9</v>
      </c>
      <c r="D806" s="4">
        <v>0</v>
      </c>
      <c r="E806" s="3">
        <v>0</v>
      </c>
      <c r="F806" s="3">
        <f>E806/7.8</f>
        <v>0</v>
      </c>
      <c r="G806" s="3">
        <f>F806/2</f>
        <v>0</v>
      </c>
      <c r="H806" t="s">
        <v>893</v>
      </c>
      <c r="I806" t="s">
        <v>201</v>
      </c>
      <c r="J806" t="s">
        <v>893</v>
      </c>
      <c r="K806">
        <v>33.409999999999997</v>
      </c>
      <c r="L806">
        <v>2.5379999999999998</v>
      </c>
      <c r="M806" s="1">
        <v>100</v>
      </c>
      <c r="N806" s="1" t="s">
        <v>768</v>
      </c>
    </row>
    <row r="807" spans="1:14" x14ac:dyDescent="0.25">
      <c r="A807" t="s">
        <v>1608</v>
      </c>
      <c r="B807" t="s">
        <v>1609</v>
      </c>
      <c r="C807" t="s">
        <v>9</v>
      </c>
      <c r="D807" s="4">
        <v>2.99392814050734E-2</v>
      </c>
      <c r="E807" s="3">
        <v>112927099.917505</v>
      </c>
      <c r="F807" s="3">
        <f>E807/7.8</f>
        <v>14477833.32275705</v>
      </c>
      <c r="G807" s="3">
        <f>F807/2</f>
        <v>7238916.6613785252</v>
      </c>
      <c r="H807" t="s">
        <v>284</v>
      </c>
      <c r="I807" t="s">
        <v>1374</v>
      </c>
      <c r="J807" t="s">
        <v>1375</v>
      </c>
      <c r="K807">
        <v>17.21</v>
      </c>
      <c r="L807">
        <v>2.4660000000000002</v>
      </c>
      <c r="M807" s="1">
        <v>1000</v>
      </c>
      <c r="N807" s="1" t="s">
        <v>768</v>
      </c>
    </row>
    <row r="808" spans="1:14" x14ac:dyDescent="0.25">
      <c r="A808" t="s">
        <v>1608</v>
      </c>
      <c r="B808" t="s">
        <v>1609</v>
      </c>
      <c r="C808" t="s">
        <v>9</v>
      </c>
      <c r="D808" s="4">
        <v>4.1544302689832897E-2</v>
      </c>
      <c r="E808" s="3">
        <v>131470480.47829901</v>
      </c>
      <c r="F808" s="3">
        <f>E808/7.8</f>
        <v>16855189.804910131</v>
      </c>
      <c r="G808" s="3">
        <f>F808/2</f>
        <v>8427594.9024550654</v>
      </c>
      <c r="H808" t="s">
        <v>541</v>
      </c>
      <c r="I808" t="s">
        <v>1377</v>
      </c>
      <c r="J808" t="s">
        <v>1378</v>
      </c>
      <c r="K808">
        <v>14.66</v>
      </c>
      <c r="L808">
        <v>2.4820000000000002</v>
      </c>
      <c r="M808" s="1">
        <v>10000</v>
      </c>
      <c r="N808" s="1" t="s">
        <v>768</v>
      </c>
    </row>
    <row r="809" spans="1:14" x14ac:dyDescent="0.25">
      <c r="A809" t="s">
        <v>1608</v>
      </c>
      <c r="B809" t="s">
        <v>1609</v>
      </c>
      <c r="C809" t="s">
        <v>9</v>
      </c>
      <c r="D809" s="4">
        <v>0.12705069331837501</v>
      </c>
      <c r="E809" s="3">
        <v>120111419.894559</v>
      </c>
      <c r="F809" s="3">
        <f>E809/7.8</f>
        <v>15398899.986481924</v>
      </c>
      <c r="G809" s="3">
        <f>F809/2</f>
        <v>7699449.9932409618</v>
      </c>
      <c r="H809" t="s">
        <v>893</v>
      </c>
      <c r="I809" t="s">
        <v>1380</v>
      </c>
      <c r="J809" t="s">
        <v>29</v>
      </c>
      <c r="K809">
        <v>15.94</v>
      </c>
      <c r="L809">
        <v>2.4830000000000001</v>
      </c>
      <c r="M809" s="1">
        <v>100000</v>
      </c>
      <c r="N809" s="1" t="s">
        <v>768</v>
      </c>
    </row>
    <row r="810" spans="1:14" x14ac:dyDescent="0.25">
      <c r="A810" t="s">
        <v>1608</v>
      </c>
      <c r="B810" t="s">
        <v>1609</v>
      </c>
      <c r="C810" t="s">
        <v>448</v>
      </c>
      <c r="D810" s="4">
        <v>6.7345538298599697E-2</v>
      </c>
      <c r="E810" s="3">
        <v>22745532.1513336</v>
      </c>
      <c r="H810" t="s">
        <v>893</v>
      </c>
      <c r="I810" t="s">
        <v>59</v>
      </c>
      <c r="J810" t="s">
        <v>671</v>
      </c>
      <c r="K810">
        <v>8.2899999999999991</v>
      </c>
      <c r="L810">
        <v>2.5379999999999998</v>
      </c>
      <c r="M810" s="1">
        <v>100</v>
      </c>
      <c r="N810" s="1" t="s">
        <v>768</v>
      </c>
    </row>
    <row r="811" spans="1:14" x14ac:dyDescent="0.25">
      <c r="A811" t="s">
        <v>1608</v>
      </c>
      <c r="B811" t="s">
        <v>1609</v>
      </c>
      <c r="C811" t="s">
        <v>448</v>
      </c>
      <c r="D811" s="4">
        <v>3.87987205011667E-2</v>
      </c>
      <c r="E811" s="3">
        <v>15706943.599383101</v>
      </c>
      <c r="H811" t="s">
        <v>435</v>
      </c>
      <c r="I811" t="s">
        <v>335</v>
      </c>
      <c r="J811" t="s">
        <v>1376</v>
      </c>
      <c r="K811">
        <v>8.2899999999999991</v>
      </c>
      <c r="L811">
        <v>2.4660000000000002</v>
      </c>
      <c r="M811" s="1">
        <v>1000</v>
      </c>
      <c r="N811" s="1" t="s">
        <v>768</v>
      </c>
    </row>
    <row r="812" spans="1:14" x14ac:dyDescent="0.25">
      <c r="A812" t="s">
        <v>1608</v>
      </c>
      <c r="B812" t="s">
        <v>1609</v>
      </c>
      <c r="C812" t="s">
        <v>448</v>
      </c>
      <c r="D812" s="4">
        <v>0.102041278564661</v>
      </c>
      <c r="E812" s="3">
        <v>18812945.632154699</v>
      </c>
      <c r="H812" t="s">
        <v>88</v>
      </c>
      <c r="I812" t="s">
        <v>1379</v>
      </c>
      <c r="J812" t="s">
        <v>1140</v>
      </c>
      <c r="K812">
        <v>7.65</v>
      </c>
      <c r="L812">
        <v>2.4820000000000002</v>
      </c>
      <c r="M812" s="1">
        <v>10000</v>
      </c>
      <c r="N812" s="1" t="s">
        <v>768</v>
      </c>
    </row>
    <row r="813" spans="1:14" x14ac:dyDescent="0.25">
      <c r="A813" t="s">
        <v>1608</v>
      </c>
      <c r="B813" t="s">
        <v>1609</v>
      </c>
      <c r="C813" t="s">
        <v>448</v>
      </c>
      <c r="D813" s="4">
        <v>0</v>
      </c>
      <c r="E813" s="3">
        <v>16900000</v>
      </c>
      <c r="H813" t="s">
        <v>893</v>
      </c>
      <c r="I813">
        <v>34</v>
      </c>
      <c r="J813" t="s">
        <v>893</v>
      </c>
      <c r="K813">
        <v>10.199999999999999</v>
      </c>
      <c r="L813">
        <v>2.4830000000000001</v>
      </c>
      <c r="M813" s="1">
        <v>100000</v>
      </c>
      <c r="N813" s="1" t="s">
        <v>768</v>
      </c>
    </row>
    <row r="814" spans="1:14" x14ac:dyDescent="0.25">
      <c r="A814" t="s">
        <v>10</v>
      </c>
      <c r="B814" t="s">
        <v>1609</v>
      </c>
      <c r="C814" t="s">
        <v>9</v>
      </c>
      <c r="D814" s="4" t="s">
        <v>20</v>
      </c>
      <c r="E814" s="3" t="s">
        <v>20</v>
      </c>
      <c r="F814" s="3" t="e">
        <f>E814/7.8</f>
        <v>#VALUE!</v>
      </c>
      <c r="G814" s="3" t="e">
        <f>F814/2</f>
        <v>#VALUE!</v>
      </c>
      <c r="H814" t="s">
        <v>324</v>
      </c>
      <c r="I814" t="s">
        <v>201</v>
      </c>
      <c r="J814" t="s">
        <v>324</v>
      </c>
      <c r="K814">
        <v>13.01</v>
      </c>
      <c r="L814">
        <v>2.5009999999999999</v>
      </c>
      <c r="M814" s="1" t="s">
        <v>20</v>
      </c>
      <c r="N814" s="1" t="s">
        <v>768</v>
      </c>
    </row>
    <row r="815" spans="1:14" x14ac:dyDescent="0.25">
      <c r="A815" t="s">
        <v>10</v>
      </c>
      <c r="B815" t="s">
        <v>1609</v>
      </c>
      <c r="C815" t="s">
        <v>448</v>
      </c>
      <c r="D815" s="4" t="s">
        <v>20</v>
      </c>
      <c r="E815" s="3" t="s">
        <v>20</v>
      </c>
      <c r="H815" t="s">
        <v>324</v>
      </c>
      <c r="I815" t="s">
        <v>201</v>
      </c>
      <c r="J815" t="s">
        <v>324</v>
      </c>
      <c r="K815">
        <v>6.63</v>
      </c>
      <c r="L815">
        <v>2.5009999999999999</v>
      </c>
      <c r="M815" s="1" t="s">
        <v>20</v>
      </c>
      <c r="N815" s="1" t="s">
        <v>768</v>
      </c>
    </row>
    <row r="816" spans="1:14" x14ac:dyDescent="0.25">
      <c r="A816" s="1" t="s">
        <v>1611</v>
      </c>
      <c r="B816" t="s">
        <v>1609</v>
      </c>
      <c r="C816" t="s">
        <v>9</v>
      </c>
      <c r="D816" s="4" t="s">
        <v>20</v>
      </c>
      <c r="E816" s="3">
        <v>0</v>
      </c>
      <c r="F816" s="3">
        <f>E816/7.8</f>
        <v>0</v>
      </c>
      <c r="G816" s="3">
        <f>F816/2</f>
        <v>0</v>
      </c>
      <c r="H816" t="s">
        <v>17</v>
      </c>
      <c r="I816" t="s">
        <v>201</v>
      </c>
      <c r="J816" t="s">
        <v>17</v>
      </c>
      <c r="K816">
        <v>13.01</v>
      </c>
      <c r="L816">
        <v>2.6549999999999998</v>
      </c>
      <c r="M816" s="1" t="s">
        <v>20</v>
      </c>
      <c r="N816" s="1" t="s">
        <v>768</v>
      </c>
    </row>
    <row r="817" spans="1:14" x14ac:dyDescent="0.25">
      <c r="A817" s="1" t="s">
        <v>1611</v>
      </c>
      <c r="B817" t="s">
        <v>1609</v>
      </c>
      <c r="C817" t="s">
        <v>448</v>
      </c>
      <c r="D817" s="4" t="s">
        <v>20</v>
      </c>
      <c r="E817" s="3">
        <v>0</v>
      </c>
      <c r="H817" t="s">
        <v>17</v>
      </c>
      <c r="I817" t="s">
        <v>201</v>
      </c>
      <c r="J817" t="s">
        <v>17</v>
      </c>
      <c r="K817">
        <v>7.91</v>
      </c>
      <c r="L817">
        <v>2.6549999999999998</v>
      </c>
      <c r="M817" s="1" t="s">
        <v>20</v>
      </c>
      <c r="N817" s="1" t="s">
        <v>768</v>
      </c>
    </row>
    <row r="818" spans="1:14" x14ac:dyDescent="0.25">
      <c r="A818" t="s">
        <v>1616</v>
      </c>
      <c r="B818" t="s">
        <v>1609</v>
      </c>
      <c r="C818" t="s">
        <v>9</v>
      </c>
      <c r="D818" s="4">
        <v>3.1441309162033297E-2</v>
      </c>
      <c r="E818" s="3">
        <v>1154540.6188292201</v>
      </c>
      <c r="F818" s="3">
        <f>E818/7.8</f>
        <v>148018.0280550282</v>
      </c>
      <c r="G818" s="3">
        <f>F818/2</f>
        <v>74009.014027514102</v>
      </c>
      <c r="H818" t="s">
        <v>232</v>
      </c>
      <c r="I818" t="s">
        <v>1381</v>
      </c>
      <c r="J818" t="s">
        <v>1382</v>
      </c>
      <c r="K818">
        <v>14.66</v>
      </c>
      <c r="L818">
        <v>2.649</v>
      </c>
      <c r="M818" s="1">
        <v>10</v>
      </c>
      <c r="N818" s="1" t="s">
        <v>768</v>
      </c>
    </row>
    <row r="819" spans="1:14" x14ac:dyDescent="0.25">
      <c r="A819" t="s">
        <v>1616</v>
      </c>
      <c r="B819" t="s">
        <v>1609</v>
      </c>
      <c r="C819" t="s">
        <v>448</v>
      </c>
      <c r="D819" s="4">
        <v>3.9231476517011601E-2</v>
      </c>
      <c r="E819" s="3">
        <v>142986.18385747401</v>
      </c>
      <c r="H819" t="s">
        <v>1383</v>
      </c>
      <c r="I819" t="s">
        <v>1384</v>
      </c>
      <c r="J819" t="s">
        <v>1385</v>
      </c>
      <c r="K819">
        <v>8.2899999999999991</v>
      </c>
      <c r="L819">
        <v>2.649</v>
      </c>
      <c r="M819" s="1">
        <v>10</v>
      </c>
      <c r="N819" s="1" t="s">
        <v>768</v>
      </c>
    </row>
    <row r="820" spans="1:14" x14ac:dyDescent="0.25">
      <c r="A820" t="s">
        <v>1619</v>
      </c>
      <c r="B820" t="s">
        <v>1609</v>
      </c>
      <c r="C820" t="s">
        <v>9</v>
      </c>
      <c r="D820" s="4">
        <v>2.7110353189872299E-2</v>
      </c>
      <c r="E820" s="3">
        <v>74238.342728105694</v>
      </c>
      <c r="F820" s="3">
        <f>E820/7.8</f>
        <v>9517.7362471930373</v>
      </c>
      <c r="G820" s="3">
        <f>F820/2</f>
        <v>4758.8681235965187</v>
      </c>
      <c r="H820" t="s">
        <v>552</v>
      </c>
      <c r="I820" t="s">
        <v>1367</v>
      </c>
      <c r="J820" t="s">
        <v>1368</v>
      </c>
      <c r="K820">
        <v>18.489999999999998</v>
      </c>
      <c r="L820">
        <v>2.6269999999999998</v>
      </c>
      <c r="M820" s="1" t="s">
        <v>20</v>
      </c>
      <c r="N820" s="1" t="s">
        <v>768</v>
      </c>
    </row>
    <row r="821" spans="1:14" x14ac:dyDescent="0.25">
      <c r="A821" t="s">
        <v>1619</v>
      </c>
      <c r="B821" t="s">
        <v>1609</v>
      </c>
      <c r="C821" t="s">
        <v>448</v>
      </c>
      <c r="D821" s="4">
        <v>4.4091709510436498E-2</v>
      </c>
      <c r="E821" s="3">
        <v>10832.9649824116</v>
      </c>
      <c r="H821" t="s">
        <v>1161</v>
      </c>
      <c r="I821" t="s">
        <v>1369</v>
      </c>
      <c r="J821" t="s">
        <v>1370</v>
      </c>
      <c r="K821">
        <v>7.01</v>
      </c>
      <c r="L821">
        <v>2.6269999999999998</v>
      </c>
      <c r="M821" s="1" t="s">
        <v>20</v>
      </c>
      <c r="N821" s="1" t="s">
        <v>768</v>
      </c>
    </row>
    <row r="822" spans="1:14" x14ac:dyDescent="0.25">
      <c r="A822" t="s">
        <v>1646</v>
      </c>
      <c r="B822" t="s">
        <v>1609</v>
      </c>
      <c r="C822" t="s">
        <v>9</v>
      </c>
      <c r="D822" s="4">
        <v>2.8360064250238501E-2</v>
      </c>
      <c r="E822" s="3">
        <v>395499.22392071399</v>
      </c>
      <c r="F822" s="3">
        <f>E822/7.8</f>
        <v>50705.028707783844</v>
      </c>
      <c r="G822" s="3">
        <f>F822/2</f>
        <v>25352.514353891922</v>
      </c>
      <c r="H822" t="s">
        <v>130</v>
      </c>
      <c r="I822" t="s">
        <v>1386</v>
      </c>
      <c r="J822" t="s">
        <v>1387</v>
      </c>
      <c r="K822">
        <v>17.21</v>
      </c>
      <c r="L822">
        <v>2.5409999999999999</v>
      </c>
      <c r="M822" s="1">
        <v>10</v>
      </c>
      <c r="N822" s="1" t="s">
        <v>768</v>
      </c>
    </row>
    <row r="823" spans="1:14" x14ac:dyDescent="0.25">
      <c r="A823" t="s">
        <v>1646</v>
      </c>
      <c r="B823" t="s">
        <v>1609</v>
      </c>
      <c r="C823" t="s">
        <v>448</v>
      </c>
      <c r="D823" s="4">
        <v>6.3005227116001802E-2</v>
      </c>
      <c r="E823" s="3">
        <v>50123.417669913899</v>
      </c>
      <c r="H823" t="s">
        <v>71</v>
      </c>
      <c r="I823" t="s">
        <v>1388</v>
      </c>
      <c r="J823" t="s">
        <v>1389</v>
      </c>
      <c r="K823">
        <v>8.2899999999999991</v>
      </c>
      <c r="L823">
        <v>2.5409999999999999</v>
      </c>
      <c r="M823" s="1">
        <v>10</v>
      </c>
      <c r="N823" s="1" t="s">
        <v>768</v>
      </c>
    </row>
    <row r="824" spans="1:14" x14ac:dyDescent="0.25">
      <c r="A824" t="s">
        <v>1680</v>
      </c>
      <c r="B824" t="s">
        <v>1609</v>
      </c>
      <c r="C824" t="s">
        <v>9</v>
      </c>
      <c r="D824" s="4">
        <v>3.1222693411843E-2</v>
      </c>
      <c r="E824" s="3">
        <v>27634.090636486999</v>
      </c>
      <c r="F824" s="3">
        <f>E824/7.8</f>
        <v>3542.8321328829488</v>
      </c>
      <c r="G824" s="3">
        <f>F824/2</f>
        <v>1771.4160664414744</v>
      </c>
      <c r="H824" t="s">
        <v>893</v>
      </c>
      <c r="I824" t="s">
        <v>1390</v>
      </c>
      <c r="J824" t="s">
        <v>1391</v>
      </c>
      <c r="K824">
        <v>13.39</v>
      </c>
      <c r="L824">
        <v>2.5289999999999999</v>
      </c>
      <c r="M824" s="1" t="s">
        <v>20</v>
      </c>
      <c r="N824" s="1" t="s">
        <v>768</v>
      </c>
    </row>
    <row r="825" spans="1:14" x14ac:dyDescent="0.25">
      <c r="A825" t="s">
        <v>1680</v>
      </c>
      <c r="B825" t="s">
        <v>1609</v>
      </c>
      <c r="C825" t="s">
        <v>448</v>
      </c>
      <c r="D825" s="4">
        <v>7.4801782188451696E-2</v>
      </c>
      <c r="E825" s="3">
        <v>3502.3875380616601</v>
      </c>
      <c r="H825" t="s">
        <v>893</v>
      </c>
      <c r="I825" t="s">
        <v>1212</v>
      </c>
      <c r="J825" t="s">
        <v>1392</v>
      </c>
      <c r="K825">
        <v>7.01</v>
      </c>
      <c r="L825">
        <v>2.5289999999999999</v>
      </c>
      <c r="M825" s="1" t="s">
        <v>20</v>
      </c>
      <c r="N825" s="1" t="s">
        <v>768</v>
      </c>
    </row>
    <row r="826" spans="1:14" x14ac:dyDescent="0.25">
      <c r="A826" t="s">
        <v>1681</v>
      </c>
      <c r="B826" t="s">
        <v>1609</v>
      </c>
      <c r="C826" t="s">
        <v>9</v>
      </c>
      <c r="D826" s="4">
        <v>4.1624480012776702E-2</v>
      </c>
      <c r="E826" s="3">
        <v>12475.478971153399</v>
      </c>
      <c r="F826" s="3">
        <f>E826/7.8</f>
        <v>1599.4203809171024</v>
      </c>
      <c r="G826" s="3">
        <f>F826/2</f>
        <v>799.71019045855121</v>
      </c>
      <c r="H826" t="s">
        <v>11</v>
      </c>
      <c r="I826" t="s">
        <v>1436</v>
      </c>
      <c r="J826" t="s">
        <v>1437</v>
      </c>
      <c r="K826">
        <v>12.11</v>
      </c>
      <c r="L826">
        <v>2.5910000000000002</v>
      </c>
      <c r="M826" s="1" t="s">
        <v>20</v>
      </c>
      <c r="N826" s="1" t="s">
        <v>768</v>
      </c>
    </row>
    <row r="827" spans="1:14" x14ac:dyDescent="0.25">
      <c r="A827" t="s">
        <v>1681</v>
      </c>
      <c r="B827" t="s">
        <v>1609</v>
      </c>
      <c r="C827" t="s">
        <v>448</v>
      </c>
      <c r="D827" s="4">
        <v>0.113544692225735</v>
      </c>
      <c r="E827" s="3">
        <v>1446.2567517493801</v>
      </c>
      <c r="H827" t="s">
        <v>324</v>
      </c>
      <c r="I827" t="s">
        <v>1007</v>
      </c>
      <c r="J827" t="s">
        <v>1438</v>
      </c>
      <c r="K827">
        <v>8.2899999999999991</v>
      </c>
      <c r="L827">
        <v>2.5910000000000002</v>
      </c>
      <c r="M827" s="1" t="s">
        <v>20</v>
      </c>
      <c r="N827" s="1" t="s">
        <v>768</v>
      </c>
    </row>
    <row r="828" spans="1:14" x14ac:dyDescent="0.25">
      <c r="A828" t="s">
        <v>1708</v>
      </c>
      <c r="B828" t="s">
        <v>1609</v>
      </c>
      <c r="C828" t="s">
        <v>9</v>
      </c>
      <c r="D828" s="4">
        <v>6.7142260168580395E-2</v>
      </c>
      <c r="E828" s="3">
        <v>4284.4572043048902</v>
      </c>
      <c r="F828" s="3">
        <f>E828/7.8</f>
        <v>549.28938516729363</v>
      </c>
      <c r="G828" s="3">
        <f>F828/2</f>
        <v>274.64469258364682</v>
      </c>
      <c r="H828" t="s">
        <v>76</v>
      </c>
      <c r="I828" t="s">
        <v>1439</v>
      </c>
      <c r="J828" t="s">
        <v>1440</v>
      </c>
      <c r="K828">
        <v>15.94</v>
      </c>
      <c r="L828">
        <v>2.5960000000000001</v>
      </c>
      <c r="M828" s="1" t="s">
        <v>20</v>
      </c>
      <c r="N828" s="1" t="s">
        <v>768</v>
      </c>
    </row>
    <row r="829" spans="1:14" x14ac:dyDescent="0.25">
      <c r="A829" t="s">
        <v>1708</v>
      </c>
      <c r="B829" t="s">
        <v>1609</v>
      </c>
      <c r="C829" t="s">
        <v>448</v>
      </c>
      <c r="D829" s="4">
        <v>0.19900571303654899</v>
      </c>
      <c r="E829" s="3">
        <v>464.34757553468</v>
      </c>
      <c r="H829" t="s">
        <v>76</v>
      </c>
      <c r="I829" t="s">
        <v>1441</v>
      </c>
      <c r="J829" t="s">
        <v>156</v>
      </c>
      <c r="K829">
        <v>8.2899999999999991</v>
      </c>
      <c r="L829">
        <v>2.5960000000000001</v>
      </c>
      <c r="M829" s="1" t="s">
        <v>20</v>
      </c>
      <c r="N829" s="1" t="s">
        <v>768</v>
      </c>
    </row>
    <row r="830" spans="1:14" x14ac:dyDescent="0.25">
      <c r="A830" t="s">
        <v>1709</v>
      </c>
      <c r="B830" t="s">
        <v>1609</v>
      </c>
      <c r="C830" t="s">
        <v>9</v>
      </c>
      <c r="D830" s="4">
        <v>3.9610673565712899E-2</v>
      </c>
      <c r="E830" s="3">
        <v>14801.8278505176</v>
      </c>
      <c r="F830" s="3">
        <f>E830/7.8</f>
        <v>1897.6702372458462</v>
      </c>
      <c r="G830" s="3">
        <f>F830/2</f>
        <v>948.83511862292312</v>
      </c>
      <c r="H830" t="s">
        <v>217</v>
      </c>
      <c r="I830" t="s">
        <v>1393</v>
      </c>
      <c r="J830" t="s">
        <v>1394</v>
      </c>
      <c r="K830">
        <v>12.75</v>
      </c>
      <c r="L830">
        <v>2.4729999999999999</v>
      </c>
      <c r="M830" s="1" t="s">
        <v>20</v>
      </c>
      <c r="N830" s="1" t="s">
        <v>768</v>
      </c>
    </row>
    <row r="831" spans="1:14" x14ac:dyDescent="0.25">
      <c r="A831" t="s">
        <v>1709</v>
      </c>
      <c r="B831" t="s">
        <v>1609</v>
      </c>
      <c r="C831" t="s">
        <v>448</v>
      </c>
      <c r="D831" s="4">
        <v>0.12980658279068899</v>
      </c>
      <c r="E831" s="3">
        <v>1154.4432920501599</v>
      </c>
      <c r="H831" t="s">
        <v>284</v>
      </c>
      <c r="I831" t="s">
        <v>1395</v>
      </c>
      <c r="J831" t="s">
        <v>1396</v>
      </c>
      <c r="K831">
        <v>8.2899999999999991</v>
      </c>
      <c r="L831">
        <v>2.4729999999999999</v>
      </c>
      <c r="M831" s="1" t="s">
        <v>20</v>
      </c>
      <c r="N831" s="1" t="s">
        <v>768</v>
      </c>
    </row>
    <row r="832" spans="1:14" x14ac:dyDescent="0.25">
      <c r="A832" t="s">
        <v>1729</v>
      </c>
      <c r="B832" t="s">
        <v>1609</v>
      </c>
      <c r="C832" t="s">
        <v>9</v>
      </c>
      <c r="D832" s="4">
        <v>0.107782797387465</v>
      </c>
      <c r="E832" s="3">
        <v>261740.639242968</v>
      </c>
      <c r="F832" s="3">
        <f>E832/7.8</f>
        <v>33556.492210636927</v>
      </c>
      <c r="G832" s="3">
        <f>F832/2</f>
        <v>16778.246105318463</v>
      </c>
      <c r="H832" t="s">
        <v>284</v>
      </c>
      <c r="I832" t="s">
        <v>136</v>
      </c>
      <c r="J832" t="s">
        <v>176</v>
      </c>
      <c r="K832">
        <v>14</v>
      </c>
      <c r="L832">
        <v>2.621</v>
      </c>
      <c r="M832" s="1" t="s">
        <v>20</v>
      </c>
      <c r="N832" s="1" t="s">
        <v>768</v>
      </c>
    </row>
    <row r="833" spans="1:14" x14ac:dyDescent="0.25">
      <c r="A833" t="s">
        <v>1729</v>
      </c>
      <c r="B833" t="s">
        <v>1609</v>
      </c>
      <c r="C833" t="s">
        <v>448</v>
      </c>
      <c r="D833" s="4">
        <v>2.70146375517352E-2</v>
      </c>
      <c r="E833" s="3">
        <v>72633.898104864798</v>
      </c>
      <c r="H833" t="s">
        <v>284</v>
      </c>
      <c r="I833" t="s">
        <v>1406</v>
      </c>
      <c r="J833" t="s">
        <v>246</v>
      </c>
      <c r="K833">
        <v>8.2899999999999991</v>
      </c>
      <c r="L833">
        <v>2.621</v>
      </c>
      <c r="M833" s="1" t="s">
        <v>20</v>
      </c>
      <c r="N833" s="1" t="s">
        <v>768</v>
      </c>
    </row>
    <row r="834" spans="1:14" x14ac:dyDescent="0.25">
      <c r="A834" t="s">
        <v>1737</v>
      </c>
      <c r="B834" t="s">
        <v>1609</v>
      </c>
      <c r="C834" t="s">
        <v>9</v>
      </c>
      <c r="D834" s="4">
        <v>2.9888351548965401E-2</v>
      </c>
      <c r="E834" s="3">
        <v>1057317.1232028101</v>
      </c>
      <c r="F834" s="3">
        <f>E834/7.8</f>
        <v>135553.47733369359</v>
      </c>
      <c r="G834" s="3">
        <f>F834/2</f>
        <v>67776.738666846795</v>
      </c>
      <c r="H834" t="s">
        <v>133</v>
      </c>
      <c r="I834" t="s">
        <v>1432</v>
      </c>
      <c r="J834" t="s">
        <v>1433</v>
      </c>
      <c r="K834">
        <v>18.489999999999998</v>
      </c>
      <c r="L834">
        <v>2.62</v>
      </c>
      <c r="M834" s="1">
        <v>10</v>
      </c>
      <c r="N834" s="1" t="s">
        <v>768</v>
      </c>
    </row>
    <row r="835" spans="1:14" x14ac:dyDescent="0.25">
      <c r="A835" t="s">
        <v>1737</v>
      </c>
      <c r="B835" t="s">
        <v>1609</v>
      </c>
      <c r="C835" t="s">
        <v>448</v>
      </c>
      <c r="D835" s="4">
        <v>4.0047248513480599E-2</v>
      </c>
      <c r="E835" s="3">
        <v>136096.232354671</v>
      </c>
      <c r="H835" t="s">
        <v>1103</v>
      </c>
      <c r="I835" t="s">
        <v>1434</v>
      </c>
      <c r="J835" t="s">
        <v>1435</v>
      </c>
      <c r="K835">
        <v>8.2899999999999991</v>
      </c>
      <c r="L835">
        <v>2.62</v>
      </c>
      <c r="M835" s="1">
        <v>10</v>
      </c>
      <c r="N835" s="1" t="s">
        <v>768</v>
      </c>
    </row>
    <row r="836" spans="1:14" x14ac:dyDescent="0.25">
      <c r="A836" t="s">
        <v>1752</v>
      </c>
      <c r="B836" t="s">
        <v>1609</v>
      </c>
      <c r="C836" t="s">
        <v>9</v>
      </c>
      <c r="D836" s="4">
        <v>2.7235194863920401E-2</v>
      </c>
      <c r="E836" s="3">
        <v>79869.257922392397</v>
      </c>
      <c r="F836" s="3">
        <f>E836/7.8</f>
        <v>10239.64845158877</v>
      </c>
      <c r="G836" s="3">
        <f>F836/2</f>
        <v>5119.8242257943848</v>
      </c>
      <c r="H836" t="s">
        <v>232</v>
      </c>
      <c r="I836" t="s">
        <v>490</v>
      </c>
      <c r="J836" t="s">
        <v>1415</v>
      </c>
      <c r="K836">
        <v>10.84</v>
      </c>
      <c r="L836">
        <v>2.5419999999999998</v>
      </c>
      <c r="M836" s="1" t="s">
        <v>20</v>
      </c>
      <c r="N836" s="1" t="s">
        <v>768</v>
      </c>
    </row>
    <row r="837" spans="1:14" x14ac:dyDescent="0.25">
      <c r="A837" t="s">
        <v>1752</v>
      </c>
      <c r="B837" t="s">
        <v>1609</v>
      </c>
      <c r="C837" t="s">
        <v>448</v>
      </c>
      <c r="D837" s="4">
        <v>4.6076809888324799E-2</v>
      </c>
      <c r="E837" s="3">
        <v>10047.9323250777</v>
      </c>
      <c r="H837" t="s">
        <v>273</v>
      </c>
      <c r="I837" t="s">
        <v>1416</v>
      </c>
      <c r="J837" t="s">
        <v>1417</v>
      </c>
      <c r="K837">
        <v>8.2899999999999991</v>
      </c>
      <c r="L837">
        <v>2.5419999999999998</v>
      </c>
      <c r="M837" s="1" t="s">
        <v>20</v>
      </c>
      <c r="N837" s="1" t="s">
        <v>768</v>
      </c>
    </row>
    <row r="838" spans="1:14" x14ac:dyDescent="0.25">
      <c r="A838" t="s">
        <v>1815</v>
      </c>
      <c r="B838" t="s">
        <v>1609</v>
      </c>
      <c r="C838" t="s">
        <v>9</v>
      </c>
      <c r="D838" s="4">
        <v>5.1069908887292403E-2</v>
      </c>
      <c r="E838" s="3">
        <v>1866672.603289</v>
      </c>
      <c r="F838" s="3">
        <f>E838/7.8</f>
        <v>239317.00042166666</v>
      </c>
      <c r="G838" s="3">
        <f>F838/2</f>
        <v>119658.50021083333</v>
      </c>
      <c r="H838" t="s">
        <v>1428</v>
      </c>
      <c r="I838" t="s">
        <v>12</v>
      </c>
      <c r="J838" t="s">
        <v>1429</v>
      </c>
      <c r="K838">
        <v>15.94</v>
      </c>
      <c r="L838">
        <v>2.625</v>
      </c>
      <c r="M838" s="1">
        <v>10</v>
      </c>
      <c r="N838" s="1" t="s">
        <v>768</v>
      </c>
    </row>
    <row r="839" spans="1:14" x14ac:dyDescent="0.25">
      <c r="A839" t="s">
        <v>1815</v>
      </c>
      <c r="B839" t="s">
        <v>1609</v>
      </c>
      <c r="C839" t="s">
        <v>448</v>
      </c>
      <c r="D839" s="4">
        <v>3.3419963614865399E-2</v>
      </c>
      <c r="E839" s="3">
        <v>226988.14157190401</v>
      </c>
      <c r="H839" t="s">
        <v>1428</v>
      </c>
      <c r="I839" t="s">
        <v>1430</v>
      </c>
      <c r="J839" t="s">
        <v>1431</v>
      </c>
      <c r="K839">
        <v>7.01</v>
      </c>
      <c r="L839">
        <v>2.625</v>
      </c>
      <c r="M839" s="1">
        <v>10</v>
      </c>
      <c r="N839" s="1" t="s">
        <v>768</v>
      </c>
    </row>
    <row r="840" spans="1:14" x14ac:dyDescent="0.25">
      <c r="A840" t="s">
        <v>1835</v>
      </c>
      <c r="B840" t="s">
        <v>1609</v>
      </c>
      <c r="C840" t="s">
        <v>9</v>
      </c>
      <c r="D840" s="4">
        <v>2.6809337931587199E-2</v>
      </c>
      <c r="E840" s="3">
        <v>68812.984668237201</v>
      </c>
      <c r="F840" s="3">
        <f>E840/7.8</f>
        <v>8822.1775215688722</v>
      </c>
      <c r="G840" s="3">
        <f>F840/2</f>
        <v>4411.0887607844361</v>
      </c>
      <c r="H840" t="s">
        <v>297</v>
      </c>
      <c r="I840" t="s">
        <v>1418</v>
      </c>
      <c r="J840" t="s">
        <v>607</v>
      </c>
      <c r="K840">
        <v>10.84</v>
      </c>
      <c r="L840">
        <v>2.4969999999999999</v>
      </c>
      <c r="M840" s="1" t="s">
        <v>20</v>
      </c>
      <c r="N840" s="1" t="s">
        <v>768</v>
      </c>
    </row>
    <row r="841" spans="1:14" x14ac:dyDescent="0.25">
      <c r="A841" t="s">
        <v>1835</v>
      </c>
      <c r="B841" t="s">
        <v>1609</v>
      </c>
      <c r="C841" t="s">
        <v>448</v>
      </c>
      <c r="D841" s="4">
        <v>5.3396235459156199E-2</v>
      </c>
      <c r="E841" s="3">
        <v>7304.20469364777</v>
      </c>
      <c r="H841" t="s">
        <v>136</v>
      </c>
      <c r="I841" t="s">
        <v>1419</v>
      </c>
      <c r="J841" t="s">
        <v>1420</v>
      </c>
      <c r="K841">
        <v>7.65</v>
      </c>
      <c r="L841">
        <v>2.4969999999999999</v>
      </c>
      <c r="M841" s="1" t="s">
        <v>20</v>
      </c>
      <c r="N841" s="1" t="s">
        <v>768</v>
      </c>
    </row>
    <row r="842" spans="1:14" x14ac:dyDescent="0.25">
      <c r="A842" t="s">
        <v>1867</v>
      </c>
      <c r="B842" t="s">
        <v>1609</v>
      </c>
      <c r="C842" t="s">
        <v>9</v>
      </c>
      <c r="D842" s="4">
        <v>3.1886404959946497E-2</v>
      </c>
      <c r="E842" s="3">
        <v>25708.595506150701</v>
      </c>
      <c r="F842" s="3">
        <f>E842/7.8</f>
        <v>3295.9737828398333</v>
      </c>
      <c r="G842" s="3">
        <f>F842/2</f>
        <v>1647.9868914199167</v>
      </c>
      <c r="H842" t="s">
        <v>207</v>
      </c>
      <c r="I842" t="s">
        <v>676</v>
      </c>
      <c r="J842" t="s">
        <v>1421</v>
      </c>
      <c r="K842">
        <v>15.94</v>
      </c>
      <c r="L842">
        <v>2.5419999999999998</v>
      </c>
      <c r="M842" s="1" t="s">
        <v>20</v>
      </c>
      <c r="N842" s="1" t="s">
        <v>768</v>
      </c>
    </row>
    <row r="843" spans="1:14" x14ac:dyDescent="0.25">
      <c r="A843" t="s">
        <v>1867</v>
      </c>
      <c r="B843" t="s">
        <v>1609</v>
      </c>
      <c r="C843" t="s">
        <v>448</v>
      </c>
      <c r="D843" s="4">
        <v>9.8131700105253697E-2</v>
      </c>
      <c r="E843" s="3">
        <v>1987.0275096274199</v>
      </c>
      <c r="H843" t="s">
        <v>124</v>
      </c>
      <c r="I843" t="s">
        <v>1422</v>
      </c>
      <c r="J843" t="s">
        <v>1423</v>
      </c>
      <c r="K843">
        <v>7.01</v>
      </c>
      <c r="L843">
        <v>2.5419999999999998</v>
      </c>
      <c r="M843" s="1" t="s">
        <v>20</v>
      </c>
      <c r="N843" s="1" t="s">
        <v>768</v>
      </c>
    </row>
    <row r="844" spans="1:14" x14ac:dyDescent="0.25">
      <c r="A844" t="s">
        <v>1922</v>
      </c>
      <c r="B844" t="s">
        <v>1609</v>
      </c>
      <c r="C844" t="s">
        <v>9</v>
      </c>
      <c r="D844" s="4">
        <v>4.1939544208202603E-2</v>
      </c>
      <c r="E844" s="3">
        <v>12149.5859919253</v>
      </c>
      <c r="F844" s="3">
        <f>E844/7.8</f>
        <v>1557.6392297340128</v>
      </c>
      <c r="G844" s="3">
        <f>F844/2</f>
        <v>778.81961486700641</v>
      </c>
      <c r="H844" t="s">
        <v>479</v>
      </c>
      <c r="I844" t="s">
        <v>1371</v>
      </c>
      <c r="J844" t="s">
        <v>1372</v>
      </c>
      <c r="K844">
        <v>12.11</v>
      </c>
      <c r="L844">
        <v>2.6219999999999999</v>
      </c>
      <c r="M844" s="1" t="s">
        <v>20</v>
      </c>
      <c r="N844" s="1" t="s">
        <v>768</v>
      </c>
    </row>
    <row r="845" spans="1:14" x14ac:dyDescent="0.25">
      <c r="A845" t="s">
        <v>1922</v>
      </c>
      <c r="B845" t="s">
        <v>1609</v>
      </c>
      <c r="C845" t="s">
        <v>448</v>
      </c>
      <c r="D845" s="4">
        <v>0.13929251633989001</v>
      </c>
      <c r="E845" s="3">
        <v>944.28268622135397</v>
      </c>
      <c r="H845" t="s">
        <v>76</v>
      </c>
      <c r="I845" t="s">
        <v>1373</v>
      </c>
      <c r="J845" t="s">
        <v>171</v>
      </c>
      <c r="K845">
        <v>8.2899999999999991</v>
      </c>
      <c r="L845">
        <v>2.6219999999999999</v>
      </c>
      <c r="M845" s="1" t="s">
        <v>20</v>
      </c>
      <c r="N845" s="1" t="s">
        <v>768</v>
      </c>
    </row>
    <row r="846" spans="1:14" x14ac:dyDescent="0.25">
      <c r="A846" t="s">
        <v>1924</v>
      </c>
      <c r="B846" t="s">
        <v>1609</v>
      </c>
      <c r="C846" t="s">
        <v>9</v>
      </c>
      <c r="D846" s="4">
        <v>7.9376958702731995E-2</v>
      </c>
      <c r="E846" s="3">
        <v>3053.4937145283702</v>
      </c>
      <c r="F846" s="3">
        <f>E846/7.8</f>
        <v>391.47355314466284</v>
      </c>
      <c r="G846" s="3">
        <f>F846/2</f>
        <v>195.73677657233142</v>
      </c>
      <c r="H846" t="s">
        <v>27</v>
      </c>
      <c r="I846" t="s">
        <v>1426</v>
      </c>
      <c r="J846" t="s">
        <v>604</v>
      </c>
      <c r="K846">
        <v>18.489999999999998</v>
      </c>
      <c r="L846">
        <v>2.5590000000000002</v>
      </c>
      <c r="M846" s="1" t="s">
        <v>20</v>
      </c>
      <c r="N846" s="1" t="s">
        <v>768</v>
      </c>
    </row>
    <row r="847" spans="1:14" x14ac:dyDescent="0.25">
      <c r="A847" t="s">
        <v>1924</v>
      </c>
      <c r="B847" t="s">
        <v>1609</v>
      </c>
      <c r="C847" t="s">
        <v>448</v>
      </c>
      <c r="D847" s="4">
        <v>0.20893420347240499</v>
      </c>
      <c r="E847" s="3">
        <v>426.34213650618602</v>
      </c>
      <c r="H847" t="s">
        <v>27</v>
      </c>
      <c r="I847" t="s">
        <v>1427</v>
      </c>
      <c r="J847" t="s">
        <v>1321</v>
      </c>
      <c r="K847">
        <v>7.65</v>
      </c>
      <c r="L847">
        <v>2.5590000000000002</v>
      </c>
      <c r="M847" s="1" t="s">
        <v>20</v>
      </c>
      <c r="N847" s="1" t="s">
        <v>768</v>
      </c>
    </row>
    <row r="848" spans="1:14" x14ac:dyDescent="0.25">
      <c r="A848" t="s">
        <v>1925</v>
      </c>
      <c r="B848" t="s">
        <v>1609</v>
      </c>
      <c r="C848" t="s">
        <v>9</v>
      </c>
      <c r="D848" s="4">
        <v>2.68243518109108E-2</v>
      </c>
      <c r="E848" s="3">
        <v>58644.003142205198</v>
      </c>
      <c r="F848" s="3">
        <f>E848/7.8</f>
        <v>7518.4619413083592</v>
      </c>
      <c r="G848" s="3">
        <f>F848/2</f>
        <v>3759.2309706541796</v>
      </c>
      <c r="H848" t="s">
        <v>297</v>
      </c>
      <c r="I848" t="s">
        <v>1411</v>
      </c>
      <c r="J848" t="s">
        <v>1412</v>
      </c>
      <c r="K848">
        <v>15.3</v>
      </c>
      <c r="L848">
        <v>2.5750000000000002</v>
      </c>
      <c r="M848" s="1" t="s">
        <v>20</v>
      </c>
      <c r="N848" s="1" t="s">
        <v>768</v>
      </c>
    </row>
    <row r="849" spans="1:14" x14ac:dyDescent="0.25">
      <c r="A849" t="s">
        <v>1925</v>
      </c>
      <c r="B849" t="s">
        <v>1609</v>
      </c>
      <c r="C849" t="s">
        <v>448</v>
      </c>
      <c r="D849" s="4">
        <v>5.2911802513039598E-2</v>
      </c>
      <c r="E849" s="3">
        <v>7223.8355941360496</v>
      </c>
      <c r="H849" t="s">
        <v>150</v>
      </c>
      <c r="I849" t="s">
        <v>1413</v>
      </c>
      <c r="J849" t="s">
        <v>1414</v>
      </c>
      <c r="K849">
        <v>7.01</v>
      </c>
      <c r="L849">
        <v>2.5750000000000002</v>
      </c>
      <c r="M849" s="1" t="s">
        <v>20</v>
      </c>
      <c r="N849" s="1" t="s">
        <v>768</v>
      </c>
    </row>
    <row r="850" spans="1:14" x14ac:dyDescent="0.25">
      <c r="A850" t="s">
        <v>1928</v>
      </c>
      <c r="B850" t="s">
        <v>1609</v>
      </c>
      <c r="C850" t="s">
        <v>9</v>
      </c>
      <c r="D850" s="4">
        <v>5.0509792048392899E-2</v>
      </c>
      <c r="E850" s="3">
        <v>8156.4936391127703</v>
      </c>
      <c r="F850" s="3">
        <f>E850/7.8</f>
        <v>1045.7043127067654</v>
      </c>
      <c r="G850" s="3">
        <f>F850/2</f>
        <v>522.85215635338272</v>
      </c>
      <c r="H850" t="s">
        <v>111</v>
      </c>
      <c r="I850" t="s">
        <v>1405</v>
      </c>
      <c r="J850" t="s">
        <v>608</v>
      </c>
      <c r="K850">
        <v>12.75</v>
      </c>
      <c r="L850">
        <v>2.54</v>
      </c>
      <c r="M850" s="1" t="s">
        <v>20</v>
      </c>
      <c r="N850" s="1" t="s">
        <v>768</v>
      </c>
    </row>
    <row r="851" spans="1:14" x14ac:dyDescent="0.25">
      <c r="A851" t="s">
        <v>1928</v>
      </c>
      <c r="B851" t="s">
        <v>1609</v>
      </c>
      <c r="C851" t="s">
        <v>448</v>
      </c>
      <c r="D851" s="4">
        <v>0.15121764608239299</v>
      </c>
      <c r="E851" s="3">
        <v>825.44677521904703</v>
      </c>
      <c r="H851" t="s">
        <v>130</v>
      </c>
      <c r="I851" t="s">
        <v>1108</v>
      </c>
      <c r="J851" t="s">
        <v>769</v>
      </c>
      <c r="K851">
        <v>7.01</v>
      </c>
      <c r="L851">
        <v>2.54</v>
      </c>
      <c r="M851" s="1" t="s">
        <v>20</v>
      </c>
      <c r="N851" s="1" t="s">
        <v>768</v>
      </c>
    </row>
    <row r="852" spans="1:14" x14ac:dyDescent="0.25">
      <c r="A852" t="s">
        <v>1966</v>
      </c>
      <c r="B852" t="s">
        <v>1609</v>
      </c>
      <c r="C852" t="s">
        <v>9</v>
      </c>
      <c r="D852" s="4">
        <v>2.68359602511146E-2</v>
      </c>
      <c r="E852" s="3">
        <v>3360499.6136905202</v>
      </c>
      <c r="F852" s="3">
        <f>E852/7.8</f>
        <v>430833.28380647697</v>
      </c>
      <c r="G852" s="3">
        <f>F852/2</f>
        <v>215416.64190323849</v>
      </c>
      <c r="H852" t="s">
        <v>552</v>
      </c>
      <c r="I852" t="s">
        <v>1444</v>
      </c>
      <c r="J852" t="s">
        <v>1445</v>
      </c>
      <c r="K852">
        <v>13.39</v>
      </c>
      <c r="L852">
        <v>2.5289999999999999</v>
      </c>
      <c r="M852" s="1">
        <v>100</v>
      </c>
      <c r="N852" s="1" t="s">
        <v>768</v>
      </c>
    </row>
    <row r="853" spans="1:14" x14ac:dyDescent="0.25">
      <c r="A853" t="s">
        <v>1966</v>
      </c>
      <c r="B853" t="s">
        <v>1609</v>
      </c>
      <c r="C853" t="s">
        <v>448</v>
      </c>
      <c r="D853" s="4">
        <v>5.1273352664675802E-2</v>
      </c>
      <c r="E853" s="3">
        <v>396013.30905091303</v>
      </c>
      <c r="H853" t="s">
        <v>127</v>
      </c>
      <c r="I853" t="s">
        <v>1446</v>
      </c>
      <c r="J853" t="s">
        <v>1447</v>
      </c>
      <c r="K853">
        <v>7.65</v>
      </c>
      <c r="L853">
        <v>2.5289999999999999</v>
      </c>
      <c r="M853" s="1">
        <v>100</v>
      </c>
      <c r="N853" s="1" t="s">
        <v>768</v>
      </c>
    </row>
    <row r="854" spans="1:14" x14ac:dyDescent="0.25">
      <c r="A854" t="s">
        <v>1967</v>
      </c>
      <c r="B854" t="s">
        <v>1609</v>
      </c>
      <c r="C854" t="s">
        <v>9</v>
      </c>
      <c r="D854" s="4">
        <v>3.91696517238318E-2</v>
      </c>
      <c r="E854" s="3">
        <v>1620625.9810639201</v>
      </c>
      <c r="F854" s="3">
        <f>E854/7.8</f>
        <v>207772.56167486156</v>
      </c>
      <c r="G854" s="3">
        <f>F854/2</f>
        <v>103886.28083743078</v>
      </c>
      <c r="H854" t="s">
        <v>149</v>
      </c>
      <c r="I854" t="s">
        <v>1400</v>
      </c>
      <c r="J854" t="s">
        <v>1401</v>
      </c>
      <c r="K854">
        <v>15.94</v>
      </c>
      <c r="L854">
        <v>2.48</v>
      </c>
      <c r="M854" s="1">
        <v>10</v>
      </c>
      <c r="N854" s="1" t="s">
        <v>768</v>
      </c>
    </row>
    <row r="855" spans="1:14" x14ac:dyDescent="0.25">
      <c r="A855" t="s">
        <v>1967</v>
      </c>
      <c r="B855" t="s">
        <v>1609</v>
      </c>
      <c r="C855" t="s">
        <v>448</v>
      </c>
      <c r="D855" s="4">
        <v>3.5164310210017598E-2</v>
      </c>
      <c r="E855" s="3">
        <v>201874.86601244399</v>
      </c>
      <c r="H855" t="s">
        <v>1402</v>
      </c>
      <c r="I855" t="s">
        <v>1403</v>
      </c>
      <c r="J855" t="s">
        <v>1404</v>
      </c>
      <c r="K855">
        <v>7.01</v>
      </c>
      <c r="L855">
        <v>2.48</v>
      </c>
      <c r="M855" s="1">
        <v>10</v>
      </c>
      <c r="N855" s="1" t="s">
        <v>768</v>
      </c>
    </row>
    <row r="856" spans="1:14" x14ac:dyDescent="0.25">
      <c r="A856" t="s">
        <v>1969</v>
      </c>
      <c r="B856" t="s">
        <v>1609</v>
      </c>
      <c r="C856" t="s">
        <v>9</v>
      </c>
      <c r="D856" s="4">
        <v>2.9338709045631801E-2</v>
      </c>
      <c r="E856" s="3">
        <v>107525.885373064</v>
      </c>
      <c r="F856" s="3">
        <f>E856/7.8</f>
        <v>13785.36991962359</v>
      </c>
      <c r="G856" s="3">
        <f>F856/2</f>
        <v>6892.6849598117951</v>
      </c>
      <c r="H856" t="s">
        <v>162</v>
      </c>
      <c r="I856" t="s">
        <v>242</v>
      </c>
      <c r="J856" t="s">
        <v>1397</v>
      </c>
      <c r="K856">
        <v>11.48</v>
      </c>
      <c r="L856">
        <v>2.4750000000000001</v>
      </c>
      <c r="M856" s="1" t="s">
        <v>20</v>
      </c>
      <c r="N856" s="1" t="s">
        <v>768</v>
      </c>
    </row>
    <row r="857" spans="1:14" x14ac:dyDescent="0.25">
      <c r="A857" t="s">
        <v>1969</v>
      </c>
      <c r="B857" t="s">
        <v>1609</v>
      </c>
      <c r="C857" t="s">
        <v>448</v>
      </c>
      <c r="D857" s="4">
        <v>4.2299747023788102E-2</v>
      </c>
      <c r="E857" s="3">
        <v>12629.3298157187</v>
      </c>
      <c r="H857" t="s">
        <v>670</v>
      </c>
      <c r="I857" t="s">
        <v>1398</v>
      </c>
      <c r="J857" t="s">
        <v>1399</v>
      </c>
      <c r="K857">
        <v>7.01</v>
      </c>
      <c r="L857">
        <v>2.4750000000000001</v>
      </c>
      <c r="M857" s="1" t="s">
        <v>20</v>
      </c>
      <c r="N857" s="1" t="s">
        <v>768</v>
      </c>
    </row>
    <row r="858" spans="1:14" x14ac:dyDescent="0.25">
      <c r="A858" t="s">
        <v>1980</v>
      </c>
      <c r="B858" t="s">
        <v>1609</v>
      </c>
      <c r="C858" t="s">
        <v>9</v>
      </c>
      <c r="D858" s="4">
        <v>2.7277085008145002E-2</v>
      </c>
      <c r="E858" s="3">
        <v>784632.96016497095</v>
      </c>
      <c r="F858" s="3">
        <f>E858/7.8</f>
        <v>100593.96925191935</v>
      </c>
      <c r="G858" s="3">
        <f>F858/2</f>
        <v>50296.984625959674</v>
      </c>
      <c r="H858" t="s">
        <v>62</v>
      </c>
      <c r="I858" t="s">
        <v>1442</v>
      </c>
      <c r="J858" t="s">
        <v>642</v>
      </c>
      <c r="K858">
        <v>17.21</v>
      </c>
      <c r="L858">
        <v>2.6019999999999999</v>
      </c>
      <c r="M858" s="1">
        <v>10</v>
      </c>
      <c r="N858" s="1" t="s">
        <v>768</v>
      </c>
    </row>
    <row r="859" spans="1:14" x14ac:dyDescent="0.25">
      <c r="A859" t="s">
        <v>1980</v>
      </c>
      <c r="B859" t="s">
        <v>1609</v>
      </c>
      <c r="C859" t="s">
        <v>448</v>
      </c>
      <c r="D859" s="4">
        <v>4.6077147928705597E-2</v>
      </c>
      <c r="E859" s="3">
        <v>98298.220929850606</v>
      </c>
      <c r="H859" t="s">
        <v>392</v>
      </c>
      <c r="I859" t="s">
        <v>1416</v>
      </c>
      <c r="J859" t="s">
        <v>1443</v>
      </c>
      <c r="K859">
        <v>7.01</v>
      </c>
      <c r="L859">
        <v>2.6019999999999999</v>
      </c>
      <c r="M859" s="1">
        <v>10</v>
      </c>
      <c r="N859" s="1" t="s">
        <v>768</v>
      </c>
    </row>
    <row r="860" spans="1:14" x14ac:dyDescent="0.25">
      <c r="A860" t="s">
        <v>1996</v>
      </c>
      <c r="B860" t="s">
        <v>1609</v>
      </c>
      <c r="C860" t="s">
        <v>9</v>
      </c>
      <c r="D860" s="4">
        <v>2.7265903659652101E-2</v>
      </c>
      <c r="E860" s="3">
        <v>763873.98594218295</v>
      </c>
      <c r="F860" s="3">
        <f>E860/7.8</f>
        <v>97932.562300279867</v>
      </c>
      <c r="G860" s="3">
        <f>F860/2</f>
        <v>48966.281150139934</v>
      </c>
      <c r="H860" t="s">
        <v>914</v>
      </c>
      <c r="I860" t="s">
        <v>40</v>
      </c>
      <c r="J860" t="s">
        <v>1448</v>
      </c>
      <c r="K860">
        <v>15.94</v>
      </c>
      <c r="L860">
        <v>2.5920000000000001</v>
      </c>
      <c r="M860" s="1">
        <v>10</v>
      </c>
      <c r="N860" s="1" t="s">
        <v>768</v>
      </c>
    </row>
    <row r="861" spans="1:14" x14ac:dyDescent="0.25">
      <c r="A861" t="s">
        <v>1996</v>
      </c>
      <c r="B861" t="s">
        <v>1609</v>
      </c>
      <c r="C861" t="s">
        <v>448</v>
      </c>
      <c r="D861" s="4">
        <v>4.7413035681132198E-2</v>
      </c>
      <c r="E861" s="3">
        <v>93400.873835101302</v>
      </c>
      <c r="H861" t="s">
        <v>1449</v>
      </c>
      <c r="I861" t="s">
        <v>1450</v>
      </c>
      <c r="J861" t="s">
        <v>1451</v>
      </c>
      <c r="K861">
        <v>7.65</v>
      </c>
      <c r="L861">
        <v>2.5920000000000001</v>
      </c>
      <c r="M861" s="1">
        <v>10</v>
      </c>
      <c r="N861" s="1" t="s">
        <v>768</v>
      </c>
    </row>
    <row r="862" spans="1:14" x14ac:dyDescent="0.25">
      <c r="A862" t="s">
        <v>2006</v>
      </c>
      <c r="B862" t="s">
        <v>1609</v>
      </c>
      <c r="C862" t="s">
        <v>9</v>
      </c>
      <c r="D862" s="4">
        <v>2.94365433889812E-2</v>
      </c>
      <c r="E862" s="3">
        <v>102060.171361256</v>
      </c>
      <c r="F862" s="3">
        <f>E862/7.8</f>
        <v>13084.63735400718</v>
      </c>
      <c r="G862" s="3">
        <f>F862/2</f>
        <v>6542.31867700359</v>
      </c>
      <c r="H862" t="s">
        <v>169</v>
      </c>
      <c r="I862" t="s">
        <v>1407</v>
      </c>
      <c r="J862" t="s">
        <v>1408</v>
      </c>
      <c r="K862">
        <v>13.39</v>
      </c>
      <c r="L862">
        <v>2.6219999999999999</v>
      </c>
      <c r="M862" s="1" t="s">
        <v>20</v>
      </c>
      <c r="N862" s="1" t="s">
        <v>768</v>
      </c>
    </row>
    <row r="863" spans="1:14" x14ac:dyDescent="0.25">
      <c r="A863" t="s">
        <v>2006</v>
      </c>
      <c r="B863" t="s">
        <v>1609</v>
      </c>
      <c r="C863" t="s">
        <v>448</v>
      </c>
      <c r="D863" s="4">
        <v>4.1754379881404798E-2</v>
      </c>
      <c r="E863" s="3">
        <v>12291.6125321656</v>
      </c>
      <c r="H863" t="s">
        <v>392</v>
      </c>
      <c r="I863" t="s">
        <v>1409</v>
      </c>
      <c r="J863" t="s">
        <v>1410</v>
      </c>
      <c r="K863">
        <v>7.01</v>
      </c>
      <c r="L863">
        <v>2.6219999999999999</v>
      </c>
      <c r="M863" s="1" t="s">
        <v>20</v>
      </c>
      <c r="N863" s="1" t="s">
        <v>768</v>
      </c>
    </row>
    <row r="864" spans="1:14" x14ac:dyDescent="0.25">
      <c r="A864" t="s">
        <v>2007</v>
      </c>
      <c r="B864" t="s">
        <v>1609</v>
      </c>
      <c r="C864" t="s">
        <v>9</v>
      </c>
      <c r="D864" s="4">
        <v>5.71166465003786E-2</v>
      </c>
      <c r="E864" s="3">
        <v>211257.13480457</v>
      </c>
      <c r="F864" s="3">
        <f>E864/7.8</f>
        <v>27084.248051867948</v>
      </c>
      <c r="G864" s="3">
        <f>F864/2</f>
        <v>13542.124025933974</v>
      </c>
      <c r="H864" t="s">
        <v>162</v>
      </c>
      <c r="I864" t="s">
        <v>204</v>
      </c>
      <c r="J864" t="s">
        <v>1424</v>
      </c>
      <c r="K864">
        <v>12.75</v>
      </c>
      <c r="L864">
        <v>2.5099999999999998</v>
      </c>
      <c r="M864" s="1" t="s">
        <v>20</v>
      </c>
      <c r="N864" s="1" t="s">
        <v>768</v>
      </c>
    </row>
    <row r="865" spans="1:14" x14ac:dyDescent="0.25">
      <c r="A865" t="s">
        <v>2007</v>
      </c>
      <c r="B865" t="s">
        <v>1609</v>
      </c>
      <c r="C865" t="s">
        <v>448</v>
      </c>
      <c r="D865" s="4">
        <v>3.1617285276000502E-2</v>
      </c>
      <c r="E865" s="3">
        <v>26714.223192799898</v>
      </c>
      <c r="H865" t="s">
        <v>162</v>
      </c>
      <c r="I865" t="s">
        <v>942</v>
      </c>
      <c r="J865" t="s">
        <v>1425</v>
      </c>
      <c r="K865">
        <v>7.65</v>
      </c>
      <c r="L865">
        <v>2.5099999999999998</v>
      </c>
      <c r="M865" s="1" t="s">
        <v>20</v>
      </c>
      <c r="N865" s="1" t="s">
        <v>768</v>
      </c>
    </row>
    <row r="866" spans="1:14" x14ac:dyDescent="0.25">
      <c r="A866" t="s">
        <v>2008</v>
      </c>
      <c r="B866" t="s">
        <v>1609</v>
      </c>
      <c r="C866" t="s">
        <v>9</v>
      </c>
      <c r="D866" s="4">
        <v>3.8150463298812297E-2</v>
      </c>
      <c r="E866" s="3">
        <v>15412.951829907001</v>
      </c>
      <c r="F866" s="3">
        <f>E866/7.8</f>
        <v>1976.0194653726924</v>
      </c>
      <c r="G866" s="3">
        <f>F866/2</f>
        <v>988.00973268634618</v>
      </c>
      <c r="H866" t="s">
        <v>1452</v>
      </c>
      <c r="I866" t="s">
        <v>1453</v>
      </c>
      <c r="J866" t="s">
        <v>1454</v>
      </c>
      <c r="K866">
        <v>13.39</v>
      </c>
      <c r="L866">
        <v>2.645</v>
      </c>
      <c r="M866" s="1" t="s">
        <v>20</v>
      </c>
      <c r="N866" s="1" t="s">
        <v>768</v>
      </c>
    </row>
    <row r="867" spans="1:14" x14ac:dyDescent="0.25">
      <c r="A867" t="s">
        <v>2008</v>
      </c>
      <c r="B867" t="s">
        <v>1609</v>
      </c>
      <c r="C867" t="s">
        <v>448</v>
      </c>
      <c r="D867" s="4">
        <v>0.101357195295944</v>
      </c>
      <c r="E867" s="3">
        <v>1794.2913392737601</v>
      </c>
      <c r="H867" t="s">
        <v>141</v>
      </c>
      <c r="I867" t="s">
        <v>1455</v>
      </c>
      <c r="J867" t="s">
        <v>847</v>
      </c>
      <c r="K867">
        <v>8.2899999999999991</v>
      </c>
      <c r="L867">
        <v>2.645</v>
      </c>
      <c r="M867" s="1" t="s">
        <v>20</v>
      </c>
      <c r="N867" s="1" t="s">
        <v>768</v>
      </c>
    </row>
    <row r="868" spans="1:14" x14ac:dyDescent="0.25">
      <c r="A868" t="s">
        <v>2102</v>
      </c>
      <c r="B868" t="s">
        <v>3748</v>
      </c>
      <c r="C868" t="s">
        <v>9</v>
      </c>
      <c r="D868" s="2" t="s">
        <v>20</v>
      </c>
      <c r="E868" s="3">
        <v>0</v>
      </c>
      <c r="F868" s="3">
        <f>E868/6</f>
        <v>0</v>
      </c>
      <c r="G868" s="3">
        <f>F868/2</f>
        <v>0</v>
      </c>
      <c r="H868" t="s">
        <v>232</v>
      </c>
      <c r="I868" t="s">
        <v>201</v>
      </c>
      <c r="J868" t="s">
        <v>232</v>
      </c>
      <c r="K868">
        <v>14.28</v>
      </c>
      <c r="L868">
        <v>2.5920000000000001</v>
      </c>
      <c r="M868" s="1" t="s">
        <v>20</v>
      </c>
      <c r="N868" s="1" t="s">
        <v>3739</v>
      </c>
    </row>
    <row r="869" spans="1:14" x14ac:dyDescent="0.25">
      <c r="A869" t="s">
        <v>2102</v>
      </c>
      <c r="B869" t="s">
        <v>3748</v>
      </c>
      <c r="C869" t="s">
        <v>448</v>
      </c>
      <c r="D869" s="2" t="s">
        <v>20</v>
      </c>
      <c r="E869" s="3">
        <v>0</v>
      </c>
      <c r="H869" t="s">
        <v>232</v>
      </c>
      <c r="I869" t="s">
        <v>201</v>
      </c>
      <c r="J869" t="s">
        <v>232</v>
      </c>
      <c r="K869">
        <v>7.91</v>
      </c>
      <c r="L869">
        <v>2.5920000000000001</v>
      </c>
      <c r="M869" s="1" t="s">
        <v>20</v>
      </c>
      <c r="N869" s="1" t="s">
        <v>3739</v>
      </c>
    </row>
    <row r="870" spans="1:14" x14ac:dyDescent="0.25">
      <c r="A870" t="s">
        <v>1608</v>
      </c>
      <c r="B870" t="s">
        <v>3748</v>
      </c>
      <c r="C870" t="s">
        <v>9</v>
      </c>
      <c r="D870" s="2">
        <v>3.6433921248638097E-2</v>
      </c>
      <c r="E870" s="3">
        <v>44695357.355519101</v>
      </c>
      <c r="F870" s="3">
        <f>E870/6</f>
        <v>7449226.2259198502</v>
      </c>
      <c r="G870" s="3">
        <f>F870/2</f>
        <v>3724613.1129599251</v>
      </c>
      <c r="H870" t="s">
        <v>381</v>
      </c>
      <c r="I870" t="s">
        <v>2129</v>
      </c>
      <c r="J870" t="s">
        <v>3746</v>
      </c>
      <c r="K870">
        <v>27.41</v>
      </c>
      <c r="L870">
        <v>2.5289999999999999</v>
      </c>
      <c r="M870" s="1">
        <v>10000</v>
      </c>
      <c r="N870" s="1" t="s">
        <v>3739</v>
      </c>
    </row>
    <row r="871" spans="1:14" x14ac:dyDescent="0.25">
      <c r="A871" t="s">
        <v>1608</v>
      </c>
      <c r="B871" t="s">
        <v>3748</v>
      </c>
      <c r="C871" t="s">
        <v>448</v>
      </c>
      <c r="D871" s="2">
        <v>8.9473849454776294E-2</v>
      </c>
      <c r="E871" s="3">
        <v>6027846.3501808103</v>
      </c>
      <c r="H871" t="s">
        <v>27</v>
      </c>
      <c r="I871" t="s">
        <v>3747</v>
      </c>
      <c r="J871" t="s">
        <v>1536</v>
      </c>
      <c r="K871">
        <v>8.2899999999999991</v>
      </c>
      <c r="L871">
        <v>2.5289999999999999</v>
      </c>
      <c r="M871" s="1">
        <v>10000</v>
      </c>
      <c r="N871" s="1" t="s">
        <v>3739</v>
      </c>
    </row>
    <row r="872" spans="1:14" x14ac:dyDescent="0.25">
      <c r="A872" t="s">
        <v>3745</v>
      </c>
      <c r="B872" t="s">
        <v>3748</v>
      </c>
      <c r="C872" t="s">
        <v>9</v>
      </c>
      <c r="D872" s="2" t="s">
        <v>20</v>
      </c>
      <c r="E872" s="3" t="s">
        <v>20</v>
      </c>
      <c r="H872" t="s">
        <v>62</v>
      </c>
      <c r="I872" t="s">
        <v>201</v>
      </c>
      <c r="J872" t="s">
        <v>62</v>
      </c>
      <c r="K872">
        <v>14.28</v>
      </c>
      <c r="L872">
        <v>2.645</v>
      </c>
      <c r="M872" s="1" t="s">
        <v>20</v>
      </c>
      <c r="N872" s="1" t="s">
        <v>3739</v>
      </c>
    </row>
    <row r="873" spans="1:14" x14ac:dyDescent="0.25">
      <c r="A873" t="s">
        <v>3745</v>
      </c>
      <c r="B873" t="s">
        <v>3748</v>
      </c>
      <c r="C873" t="s">
        <v>448</v>
      </c>
      <c r="D873" s="2" t="s">
        <v>20</v>
      </c>
      <c r="E873" s="3" t="s">
        <v>20</v>
      </c>
      <c r="H873" t="s">
        <v>62</v>
      </c>
      <c r="I873" t="s">
        <v>201</v>
      </c>
      <c r="J873" t="s">
        <v>62</v>
      </c>
      <c r="K873">
        <v>6.63</v>
      </c>
      <c r="L873">
        <v>2.645</v>
      </c>
      <c r="M873" s="1" t="s">
        <v>20</v>
      </c>
      <c r="N873" s="1" t="s">
        <v>3739</v>
      </c>
    </row>
    <row r="874" spans="1:14" x14ac:dyDescent="0.25">
      <c r="A874" t="s">
        <v>3672</v>
      </c>
      <c r="B874" t="s">
        <v>1609</v>
      </c>
      <c r="C874" t="s">
        <v>9</v>
      </c>
      <c r="D874" s="2">
        <v>0.32666078643832402</v>
      </c>
      <c r="E874" s="3">
        <v>85.284604466520705</v>
      </c>
      <c r="F874" s="3">
        <f>E874/7.8</f>
        <v>10.933923649553936</v>
      </c>
      <c r="G874" s="3">
        <f>F874/2</f>
        <v>5.466961824776968</v>
      </c>
      <c r="H874" s="3" t="s">
        <v>3736</v>
      </c>
      <c r="I874" s="3" t="s">
        <v>3737</v>
      </c>
      <c r="J874" t="s">
        <v>3129</v>
      </c>
      <c r="K874">
        <v>22.76</v>
      </c>
      <c r="L874">
        <v>2.6520000000000001</v>
      </c>
      <c r="M874" t="s">
        <v>20</v>
      </c>
      <c r="N874" s="1" t="s">
        <v>3739</v>
      </c>
    </row>
    <row r="875" spans="1:14" x14ac:dyDescent="0.25">
      <c r="A875" t="s">
        <v>3672</v>
      </c>
      <c r="B875" t="s">
        <v>1609</v>
      </c>
      <c r="C875" t="s">
        <v>448</v>
      </c>
      <c r="D875" s="2">
        <v>1.0641850295447499</v>
      </c>
      <c r="E875" s="3">
        <v>7.0998838159396698</v>
      </c>
      <c r="H875" s="3" t="s">
        <v>3736</v>
      </c>
      <c r="I875" s="3" t="s">
        <v>440</v>
      </c>
      <c r="J875" t="s">
        <v>3738</v>
      </c>
      <c r="K875">
        <v>14.84</v>
      </c>
      <c r="L875">
        <v>2.6520000000000001</v>
      </c>
      <c r="M875" t="s">
        <v>20</v>
      </c>
      <c r="N875" s="1" t="s">
        <v>3739</v>
      </c>
    </row>
    <row r="876" spans="1:14" x14ac:dyDescent="0.25">
      <c r="A876" t="s">
        <v>3740</v>
      </c>
      <c r="B876" t="s">
        <v>1609</v>
      </c>
      <c r="C876" t="s">
        <v>9</v>
      </c>
      <c r="D876" s="2">
        <v>2.4443024751568499E-2</v>
      </c>
      <c r="E876" s="3">
        <v>5004.62925949909</v>
      </c>
      <c r="F876" s="3">
        <f>E876/7.8</f>
        <v>641.61913583321666</v>
      </c>
      <c r="G876" s="3">
        <f>F876/2</f>
        <v>320.80956791660833</v>
      </c>
      <c r="H876" s="3" t="s">
        <v>3741</v>
      </c>
      <c r="I876" s="3" t="s">
        <v>2120</v>
      </c>
      <c r="J876" t="s">
        <v>3742</v>
      </c>
      <c r="K876" t="s">
        <v>20</v>
      </c>
      <c r="L876">
        <v>5.1870000000000003</v>
      </c>
      <c r="M876" t="s">
        <v>20</v>
      </c>
      <c r="N876" s="1" t="s">
        <v>3739</v>
      </c>
    </row>
    <row r="877" spans="1:14" x14ac:dyDescent="0.25">
      <c r="A877" t="s">
        <v>3740</v>
      </c>
      <c r="B877" t="s">
        <v>1609</v>
      </c>
      <c r="C877" t="s">
        <v>448</v>
      </c>
      <c r="D877" s="2">
        <v>6.7194809517280296E-2</v>
      </c>
      <c r="E877" s="3">
        <v>520.48698456982697</v>
      </c>
      <c r="H877" s="3" t="s">
        <v>3743</v>
      </c>
      <c r="I877" s="3" t="s">
        <v>959</v>
      </c>
      <c r="J877" t="s">
        <v>3744</v>
      </c>
      <c r="K877">
        <v>8.2899999999999991</v>
      </c>
      <c r="L877">
        <v>5.1870000000000003</v>
      </c>
      <c r="M877" t="s">
        <v>20</v>
      </c>
      <c r="N877" s="1" t="s">
        <v>3739</v>
      </c>
    </row>
    <row r="878" spans="1:14" x14ac:dyDescent="0.25">
      <c r="A878" t="s">
        <v>1609</v>
      </c>
      <c r="B878" t="s">
        <v>2104</v>
      </c>
      <c r="C878" t="s">
        <v>2103</v>
      </c>
      <c r="D878" s="2" t="s">
        <v>20</v>
      </c>
      <c r="E878" s="3">
        <v>0</v>
      </c>
      <c r="H878" t="s">
        <v>124</v>
      </c>
      <c r="I878" t="s">
        <v>201</v>
      </c>
      <c r="J878" t="s">
        <v>124</v>
      </c>
      <c r="K878" t="s">
        <v>2397</v>
      </c>
      <c r="L878" s="1" t="s">
        <v>2344</v>
      </c>
      <c r="M878" t="s">
        <v>20</v>
      </c>
      <c r="N878" s="1" t="s">
        <v>2697</v>
      </c>
    </row>
    <row r="879" spans="1:14" x14ac:dyDescent="0.25">
      <c r="A879" t="s">
        <v>2102</v>
      </c>
      <c r="B879" t="s">
        <v>2104</v>
      </c>
      <c r="C879" t="s">
        <v>2103</v>
      </c>
      <c r="D879" s="2" t="s">
        <v>20</v>
      </c>
      <c r="E879" s="3">
        <v>0</v>
      </c>
      <c r="H879" t="s">
        <v>284</v>
      </c>
      <c r="I879" t="s">
        <v>201</v>
      </c>
      <c r="J879" t="s">
        <v>284</v>
      </c>
      <c r="K879" t="s">
        <v>2399</v>
      </c>
      <c r="L879" s="1" t="s">
        <v>2400</v>
      </c>
      <c r="M879" t="s">
        <v>20</v>
      </c>
      <c r="N879" s="1" t="s">
        <v>2697</v>
      </c>
    </row>
    <row r="880" spans="1:14" x14ac:dyDescent="0.25">
      <c r="A880" t="s">
        <v>3359</v>
      </c>
      <c r="B880" t="s">
        <v>2104</v>
      </c>
      <c r="C880" t="s">
        <v>2103</v>
      </c>
      <c r="D880" s="2">
        <v>5.4282886623380197E-2</v>
      </c>
      <c r="E880" s="3">
        <v>6780010.2663833899</v>
      </c>
      <c r="H880" t="s">
        <v>505</v>
      </c>
      <c r="I880" t="s">
        <v>2392</v>
      </c>
      <c r="J880" t="s">
        <v>2393</v>
      </c>
      <c r="K880" t="s">
        <v>2394</v>
      </c>
      <c r="L880" s="1" t="s">
        <v>2395</v>
      </c>
      <c r="M880" t="s">
        <v>2389</v>
      </c>
      <c r="N880" s="1" t="s">
        <v>2697</v>
      </c>
    </row>
    <row r="881" spans="1:14" x14ac:dyDescent="0.25">
      <c r="A881" t="s">
        <v>3358</v>
      </c>
      <c r="B881" t="s">
        <v>2104</v>
      </c>
      <c r="C881" t="s">
        <v>2103</v>
      </c>
      <c r="D881" s="2">
        <v>4.0489006131664701E-2</v>
      </c>
      <c r="E881" s="3">
        <v>13334244.2210663</v>
      </c>
      <c r="H881" t="s">
        <v>149</v>
      </c>
      <c r="I881" t="s">
        <v>2387</v>
      </c>
      <c r="J881" t="s">
        <v>394</v>
      </c>
      <c r="K881" t="s">
        <v>2044</v>
      </c>
      <c r="L881" s="1" t="s">
        <v>2388</v>
      </c>
      <c r="M881" t="s">
        <v>2389</v>
      </c>
      <c r="N881" s="1" t="s">
        <v>2697</v>
      </c>
    </row>
    <row r="882" spans="1:14" x14ac:dyDescent="0.25">
      <c r="A882" t="s">
        <v>3356</v>
      </c>
      <c r="B882" t="s">
        <v>2104</v>
      </c>
      <c r="C882" t="s">
        <v>2103</v>
      </c>
      <c r="D882" s="2" t="s">
        <v>20</v>
      </c>
      <c r="E882" s="3">
        <v>0</v>
      </c>
      <c r="H882" t="s">
        <v>232</v>
      </c>
      <c r="I882" t="s">
        <v>201</v>
      </c>
      <c r="J882" t="s">
        <v>232</v>
      </c>
      <c r="K882" t="s">
        <v>2290</v>
      </c>
      <c r="L882" s="1" t="s">
        <v>2390</v>
      </c>
      <c r="M882" t="s">
        <v>2389</v>
      </c>
      <c r="N882" s="1" t="s">
        <v>2697</v>
      </c>
    </row>
    <row r="883" spans="1:14" x14ac:dyDescent="0.25">
      <c r="A883" t="s">
        <v>10</v>
      </c>
      <c r="B883" t="s">
        <v>2104</v>
      </c>
      <c r="C883" t="s">
        <v>2103</v>
      </c>
      <c r="D883" s="2" t="s">
        <v>20</v>
      </c>
      <c r="E883" s="3" t="s">
        <v>20</v>
      </c>
      <c r="H883" t="s">
        <v>124</v>
      </c>
      <c r="I883" t="s">
        <v>201</v>
      </c>
      <c r="J883" t="s">
        <v>124</v>
      </c>
      <c r="K883" t="s">
        <v>2399</v>
      </c>
      <c r="L883" s="1" t="s">
        <v>2401</v>
      </c>
      <c r="M883" t="s">
        <v>20</v>
      </c>
      <c r="N883" s="1" t="s">
        <v>2697</v>
      </c>
    </row>
    <row r="884" spans="1:14" x14ac:dyDescent="0.25">
      <c r="A884" t="s">
        <v>1612</v>
      </c>
      <c r="B884" t="s">
        <v>2104</v>
      </c>
      <c r="C884" t="s">
        <v>2103</v>
      </c>
      <c r="D884" s="2">
        <v>2.8931838425166698E-2</v>
      </c>
      <c r="E884" s="3">
        <v>347477.89650552202</v>
      </c>
      <c r="H884" t="s">
        <v>136</v>
      </c>
      <c r="I884" t="s">
        <v>2106</v>
      </c>
      <c r="J884" t="s">
        <v>2107</v>
      </c>
      <c r="K884" t="s">
        <v>2044</v>
      </c>
      <c r="L884" s="1" t="s">
        <v>2108</v>
      </c>
      <c r="M884" t="s">
        <v>2109</v>
      </c>
      <c r="N884" s="1" t="s">
        <v>2697</v>
      </c>
    </row>
    <row r="885" spans="1:14" x14ac:dyDescent="0.25">
      <c r="A885" t="s">
        <v>1614</v>
      </c>
      <c r="B885" t="s">
        <v>2104</v>
      </c>
      <c r="C885" t="s">
        <v>2103</v>
      </c>
      <c r="D885" s="2">
        <v>5.0051395562988099E-2</v>
      </c>
      <c r="E885" s="3">
        <v>78247.7368260574</v>
      </c>
      <c r="H885" t="s">
        <v>305</v>
      </c>
      <c r="I885" t="s">
        <v>607</v>
      </c>
      <c r="J885" t="s">
        <v>2110</v>
      </c>
      <c r="K885" t="s">
        <v>2111</v>
      </c>
      <c r="L885" s="1" t="s">
        <v>2112</v>
      </c>
      <c r="M885" t="s">
        <v>2109</v>
      </c>
      <c r="N885" s="1" t="s">
        <v>2697</v>
      </c>
    </row>
    <row r="886" spans="1:14" x14ac:dyDescent="0.25">
      <c r="A886" t="s">
        <v>1615</v>
      </c>
      <c r="B886" t="s">
        <v>2104</v>
      </c>
      <c r="C886" t="s">
        <v>2103</v>
      </c>
      <c r="D886" s="2">
        <v>0.16111067787713401</v>
      </c>
      <c r="E886" s="3">
        <v>6889.8945283237799</v>
      </c>
      <c r="H886" t="s">
        <v>486</v>
      </c>
      <c r="I886" t="s">
        <v>2115</v>
      </c>
      <c r="J886" t="s">
        <v>2116</v>
      </c>
      <c r="K886" t="s">
        <v>2117</v>
      </c>
      <c r="L886" s="1" t="s">
        <v>2118</v>
      </c>
      <c r="M886" t="s">
        <v>2109</v>
      </c>
      <c r="N886" s="1" t="s">
        <v>2697</v>
      </c>
    </row>
    <row r="887" spans="1:14" x14ac:dyDescent="0.25">
      <c r="A887" t="s">
        <v>1616</v>
      </c>
      <c r="B887" t="s">
        <v>2104</v>
      </c>
      <c r="C887" t="s">
        <v>2103</v>
      </c>
      <c r="D887" s="2">
        <v>4.1706104937579098E-2</v>
      </c>
      <c r="E887" s="3">
        <v>119029.833546776</v>
      </c>
      <c r="H887" t="s">
        <v>88</v>
      </c>
      <c r="I887" t="s">
        <v>2122</v>
      </c>
      <c r="J887" t="s">
        <v>2123</v>
      </c>
      <c r="K887" t="s">
        <v>2124</v>
      </c>
      <c r="L887" s="1" t="s">
        <v>2125</v>
      </c>
      <c r="M887" t="s">
        <v>2109</v>
      </c>
      <c r="N887" s="1" t="s">
        <v>2697</v>
      </c>
    </row>
    <row r="888" spans="1:14" x14ac:dyDescent="0.25">
      <c r="A888" t="s">
        <v>1617</v>
      </c>
      <c r="B888" t="s">
        <v>2104</v>
      </c>
      <c r="C888" t="s">
        <v>2103</v>
      </c>
      <c r="D888" s="2">
        <v>2.80189435989927E-2</v>
      </c>
      <c r="E888" s="3">
        <v>39439.770619793002</v>
      </c>
      <c r="H888" t="s">
        <v>898</v>
      </c>
      <c r="I888" t="s">
        <v>197</v>
      </c>
      <c r="J888" t="s">
        <v>2129</v>
      </c>
      <c r="K888" t="s">
        <v>2111</v>
      </c>
      <c r="L888" s="1" t="s">
        <v>2130</v>
      </c>
      <c r="M888" t="s">
        <v>20</v>
      </c>
      <c r="N888" s="1" t="s">
        <v>2697</v>
      </c>
    </row>
    <row r="889" spans="1:14" x14ac:dyDescent="0.25">
      <c r="A889" t="s">
        <v>2079</v>
      </c>
      <c r="B889" t="s">
        <v>2104</v>
      </c>
      <c r="C889" t="s">
        <v>2103</v>
      </c>
      <c r="D889" s="2">
        <v>3.5265716662881197E-2</v>
      </c>
      <c r="E889" s="3">
        <v>184187.03727247301</v>
      </c>
      <c r="H889" t="s">
        <v>223</v>
      </c>
      <c r="I889" t="s">
        <v>2132</v>
      </c>
      <c r="J889" t="s">
        <v>2133</v>
      </c>
      <c r="K889" t="s">
        <v>2117</v>
      </c>
      <c r="L889" s="1" t="s">
        <v>2134</v>
      </c>
      <c r="M889" t="s">
        <v>2109</v>
      </c>
      <c r="N889" s="1" t="s">
        <v>2697</v>
      </c>
    </row>
    <row r="890" spans="1:14" x14ac:dyDescent="0.25">
      <c r="A890" t="s">
        <v>1621</v>
      </c>
      <c r="B890" t="s">
        <v>2104</v>
      </c>
      <c r="C890" t="s">
        <v>2103</v>
      </c>
      <c r="D890" s="2">
        <v>3.3697818111870399E-2</v>
      </c>
      <c r="E890" s="3">
        <v>1282374.91671578</v>
      </c>
      <c r="H890" t="s">
        <v>297</v>
      </c>
      <c r="I890" t="s">
        <v>2138</v>
      </c>
      <c r="J890" t="s">
        <v>2139</v>
      </c>
      <c r="K890" t="s">
        <v>2140</v>
      </c>
      <c r="L890" s="1" t="s">
        <v>2141</v>
      </c>
      <c r="M890" t="s">
        <v>2109</v>
      </c>
      <c r="N890" s="1" t="s">
        <v>2697</v>
      </c>
    </row>
    <row r="891" spans="1:14" x14ac:dyDescent="0.25">
      <c r="A891" t="s">
        <v>1623</v>
      </c>
      <c r="B891" t="s">
        <v>2104</v>
      </c>
      <c r="C891" t="s">
        <v>2103</v>
      </c>
      <c r="D891" s="2">
        <v>3.6357812167642903E-2</v>
      </c>
      <c r="E891" s="3">
        <v>1423606.9546473201</v>
      </c>
      <c r="H891" t="s">
        <v>893</v>
      </c>
      <c r="I891" t="s">
        <v>2144</v>
      </c>
      <c r="J891" t="s">
        <v>2145</v>
      </c>
      <c r="K891" t="s">
        <v>2146</v>
      </c>
      <c r="L891" s="1" t="s">
        <v>2147</v>
      </c>
      <c r="M891" t="s">
        <v>2109</v>
      </c>
      <c r="N891" s="1" t="s">
        <v>2697</v>
      </c>
    </row>
    <row r="892" spans="1:14" x14ac:dyDescent="0.25">
      <c r="A892" t="s">
        <v>2080</v>
      </c>
      <c r="B892" t="s">
        <v>2104</v>
      </c>
      <c r="C892" t="s">
        <v>2103</v>
      </c>
      <c r="D892" s="2">
        <v>2.6867356813127699E-2</v>
      </c>
      <c r="E892" s="3">
        <v>557521.57279730798</v>
      </c>
      <c r="H892" t="s">
        <v>198</v>
      </c>
      <c r="I892" t="s">
        <v>2151</v>
      </c>
      <c r="J892" t="s">
        <v>2152</v>
      </c>
      <c r="K892" t="s">
        <v>2117</v>
      </c>
      <c r="L892" s="1" t="s">
        <v>2153</v>
      </c>
      <c r="M892" t="s">
        <v>2109</v>
      </c>
      <c r="N892" s="1" t="s">
        <v>2697</v>
      </c>
    </row>
    <row r="893" spans="1:14" x14ac:dyDescent="0.25">
      <c r="A893" t="s">
        <v>1627</v>
      </c>
      <c r="B893" t="s">
        <v>2104</v>
      </c>
      <c r="C893" t="s">
        <v>2103</v>
      </c>
      <c r="D893" s="2">
        <v>3.1876911068265297E-2</v>
      </c>
      <c r="E893" s="3">
        <v>1198004.18732532</v>
      </c>
      <c r="H893" t="s">
        <v>98</v>
      </c>
      <c r="I893" t="s">
        <v>2156</v>
      </c>
      <c r="J893" t="s">
        <v>2052</v>
      </c>
      <c r="K893" t="s">
        <v>2111</v>
      </c>
      <c r="L893" s="1" t="s">
        <v>2157</v>
      </c>
      <c r="M893" t="s">
        <v>2109</v>
      </c>
      <c r="N893" s="1" t="s">
        <v>2697</v>
      </c>
    </row>
    <row r="894" spans="1:14" x14ac:dyDescent="0.25">
      <c r="A894" t="s">
        <v>2081</v>
      </c>
      <c r="B894" t="s">
        <v>2104</v>
      </c>
      <c r="C894" t="s">
        <v>2103</v>
      </c>
      <c r="D894" s="2">
        <v>3.3313925089442399E-2</v>
      </c>
      <c r="E894" s="3">
        <v>213339.048117987</v>
      </c>
      <c r="H894" t="s">
        <v>79</v>
      </c>
      <c r="I894" t="s">
        <v>2158</v>
      </c>
      <c r="J894" t="s">
        <v>709</v>
      </c>
      <c r="K894" t="s">
        <v>2159</v>
      </c>
      <c r="L894" s="1" t="s">
        <v>2134</v>
      </c>
      <c r="M894" t="s">
        <v>2109</v>
      </c>
      <c r="N894" s="1" t="s">
        <v>2697</v>
      </c>
    </row>
    <row r="895" spans="1:14" x14ac:dyDescent="0.25">
      <c r="A895" t="s">
        <v>1629</v>
      </c>
      <c r="B895" t="s">
        <v>2104</v>
      </c>
      <c r="C895" t="s">
        <v>2103</v>
      </c>
      <c r="D895" s="2">
        <v>4.3574563882127201E-2</v>
      </c>
      <c r="E895" s="3">
        <v>1663769.11579087</v>
      </c>
      <c r="H895" t="s">
        <v>294</v>
      </c>
      <c r="I895" t="s">
        <v>681</v>
      </c>
      <c r="J895" t="s">
        <v>2161</v>
      </c>
      <c r="K895" t="s">
        <v>2117</v>
      </c>
      <c r="L895" s="1" t="s">
        <v>2162</v>
      </c>
      <c r="M895" t="s">
        <v>2109</v>
      </c>
      <c r="N895" s="1" t="s">
        <v>2697</v>
      </c>
    </row>
    <row r="896" spans="1:14" x14ac:dyDescent="0.25">
      <c r="A896" t="s">
        <v>1630</v>
      </c>
      <c r="B896" t="s">
        <v>2104</v>
      </c>
      <c r="C896" t="s">
        <v>2103</v>
      </c>
      <c r="D896" s="2">
        <v>2.8603426658218301E-2</v>
      </c>
      <c r="E896" s="3">
        <v>368545.15592625999</v>
      </c>
      <c r="H896" t="s">
        <v>98</v>
      </c>
      <c r="I896" t="s">
        <v>2165</v>
      </c>
      <c r="J896" t="s">
        <v>2166</v>
      </c>
      <c r="K896" t="s">
        <v>2167</v>
      </c>
      <c r="L896" s="1" t="s">
        <v>2168</v>
      </c>
      <c r="M896" t="s">
        <v>2109</v>
      </c>
      <c r="N896" s="1" t="s">
        <v>2697</v>
      </c>
    </row>
    <row r="897" spans="1:14" x14ac:dyDescent="0.25">
      <c r="A897" t="s">
        <v>2082</v>
      </c>
      <c r="B897" t="s">
        <v>2104</v>
      </c>
      <c r="C897" t="s">
        <v>2103</v>
      </c>
      <c r="D897" s="2">
        <v>3.28009278538983E-2</v>
      </c>
      <c r="E897" s="3">
        <v>240464.20035302101</v>
      </c>
      <c r="H897" t="s">
        <v>297</v>
      </c>
      <c r="I897" t="s">
        <v>2171</v>
      </c>
      <c r="J897" t="s">
        <v>2172</v>
      </c>
      <c r="K897" t="s">
        <v>2167</v>
      </c>
      <c r="L897" s="1" t="s">
        <v>2173</v>
      </c>
      <c r="M897" t="s">
        <v>2109</v>
      </c>
      <c r="N897" s="1" t="s">
        <v>2697</v>
      </c>
    </row>
    <row r="898" spans="1:14" x14ac:dyDescent="0.25">
      <c r="A898" t="s">
        <v>2083</v>
      </c>
      <c r="B898" t="s">
        <v>2104</v>
      </c>
      <c r="C898" t="s">
        <v>2103</v>
      </c>
      <c r="D898" s="2">
        <v>2.9863663953537501E-2</v>
      </c>
      <c r="E898" s="3">
        <v>1079388.82702436</v>
      </c>
      <c r="H898" t="s">
        <v>468</v>
      </c>
      <c r="I898" t="s">
        <v>2176</v>
      </c>
      <c r="J898" t="s">
        <v>2177</v>
      </c>
      <c r="K898" t="s">
        <v>2124</v>
      </c>
      <c r="L898" s="1" t="s">
        <v>2178</v>
      </c>
      <c r="M898" t="s">
        <v>2109</v>
      </c>
      <c r="N898" s="1" t="s">
        <v>2697</v>
      </c>
    </row>
    <row r="899" spans="1:14" x14ac:dyDescent="0.25">
      <c r="A899" t="s">
        <v>2084</v>
      </c>
      <c r="B899" t="s">
        <v>2104</v>
      </c>
      <c r="C899" t="s">
        <v>2103</v>
      </c>
      <c r="D899" s="2">
        <v>0.100554028152108</v>
      </c>
      <c r="E899" s="3">
        <v>18504.4822894885</v>
      </c>
      <c r="H899" t="s">
        <v>297</v>
      </c>
      <c r="I899" t="s">
        <v>2181</v>
      </c>
      <c r="J899" t="s">
        <v>449</v>
      </c>
      <c r="K899" t="s">
        <v>2182</v>
      </c>
      <c r="L899" s="1" t="s">
        <v>2183</v>
      </c>
      <c r="M899" t="s">
        <v>2109</v>
      </c>
      <c r="N899" s="1" t="s">
        <v>2697</v>
      </c>
    </row>
    <row r="900" spans="1:14" x14ac:dyDescent="0.25">
      <c r="A900" t="s">
        <v>1636</v>
      </c>
      <c r="B900" t="s">
        <v>2104</v>
      </c>
      <c r="C900" t="s">
        <v>2103</v>
      </c>
      <c r="D900" s="2">
        <v>4.0789348144229902E-2</v>
      </c>
      <c r="E900" s="3">
        <v>1539222.3173814099</v>
      </c>
      <c r="H900" t="s">
        <v>56</v>
      </c>
      <c r="I900" t="s">
        <v>2186</v>
      </c>
      <c r="J900" t="s">
        <v>2053</v>
      </c>
      <c r="K900" t="s">
        <v>2187</v>
      </c>
      <c r="L900" s="1" t="s">
        <v>2188</v>
      </c>
      <c r="M900" t="s">
        <v>2109</v>
      </c>
      <c r="N900" s="1" t="s">
        <v>2697</v>
      </c>
    </row>
    <row r="901" spans="1:14" x14ac:dyDescent="0.25">
      <c r="A901" t="s">
        <v>2085</v>
      </c>
      <c r="B901" t="s">
        <v>2104</v>
      </c>
      <c r="C901" t="s">
        <v>2103</v>
      </c>
      <c r="D901" s="2">
        <v>3.3312979577777499E-2</v>
      </c>
      <c r="E901" s="3">
        <v>215247.83814434599</v>
      </c>
      <c r="H901" t="s">
        <v>27</v>
      </c>
      <c r="I901" t="s">
        <v>2190</v>
      </c>
      <c r="J901" t="s">
        <v>2191</v>
      </c>
      <c r="K901" t="s">
        <v>2121</v>
      </c>
      <c r="L901" s="1" t="s">
        <v>2192</v>
      </c>
      <c r="M901" t="s">
        <v>2109</v>
      </c>
      <c r="N901" s="1" t="s">
        <v>2697</v>
      </c>
    </row>
    <row r="902" spans="1:14" x14ac:dyDescent="0.25">
      <c r="A902" t="s">
        <v>1638</v>
      </c>
      <c r="B902" t="s">
        <v>2104</v>
      </c>
      <c r="C902" t="s">
        <v>2103</v>
      </c>
      <c r="D902" s="2">
        <v>3.2637091692789298E-2</v>
      </c>
      <c r="E902" s="3">
        <v>234975.34820896701</v>
      </c>
      <c r="H902" t="s">
        <v>516</v>
      </c>
      <c r="I902" t="s">
        <v>424</v>
      </c>
      <c r="J902" t="s">
        <v>2195</v>
      </c>
      <c r="K902" t="s">
        <v>2187</v>
      </c>
      <c r="L902" t="s">
        <v>2196</v>
      </c>
      <c r="M902" t="s">
        <v>2109</v>
      </c>
      <c r="N902" s="1" t="s">
        <v>2697</v>
      </c>
    </row>
    <row r="903" spans="1:14" x14ac:dyDescent="0.25">
      <c r="A903" t="s">
        <v>1639</v>
      </c>
      <c r="B903" t="s">
        <v>2104</v>
      </c>
      <c r="C903" t="s">
        <v>2103</v>
      </c>
      <c r="D903" s="2">
        <v>5.5969611798283102E-2</v>
      </c>
      <c r="E903" s="3">
        <v>65726.642926625602</v>
      </c>
      <c r="H903" t="s">
        <v>893</v>
      </c>
      <c r="I903" t="s">
        <v>2061</v>
      </c>
      <c r="J903" t="s">
        <v>2199</v>
      </c>
      <c r="K903" t="s">
        <v>2146</v>
      </c>
      <c r="L903" t="s">
        <v>2200</v>
      </c>
      <c r="M903" t="s">
        <v>2109</v>
      </c>
      <c r="N903" s="1" t="s">
        <v>2697</v>
      </c>
    </row>
    <row r="904" spans="1:14" x14ac:dyDescent="0.25">
      <c r="A904" t="s">
        <v>1640</v>
      </c>
      <c r="B904" t="s">
        <v>2104</v>
      </c>
      <c r="C904" t="s">
        <v>2103</v>
      </c>
      <c r="D904" s="2">
        <v>3.6607992182488697E-2</v>
      </c>
      <c r="E904" s="3">
        <v>178496.74635832699</v>
      </c>
      <c r="H904" t="s">
        <v>484</v>
      </c>
      <c r="I904" t="s">
        <v>2202</v>
      </c>
      <c r="J904" t="s">
        <v>2203</v>
      </c>
      <c r="K904" t="s">
        <v>2140</v>
      </c>
      <c r="L904" s="1" t="s">
        <v>2204</v>
      </c>
      <c r="M904" t="s">
        <v>2109</v>
      </c>
      <c r="N904" s="1" t="s">
        <v>2697</v>
      </c>
    </row>
    <row r="905" spans="1:14" x14ac:dyDescent="0.25">
      <c r="A905" t="s">
        <v>1641</v>
      </c>
      <c r="B905" t="s">
        <v>2104</v>
      </c>
      <c r="C905" t="s">
        <v>2103</v>
      </c>
      <c r="D905" s="2">
        <v>2.6976733483493501E-2</v>
      </c>
      <c r="E905" s="3">
        <v>7370315.95832144</v>
      </c>
      <c r="H905" t="s">
        <v>130</v>
      </c>
      <c r="I905" t="s">
        <v>2355</v>
      </c>
      <c r="J905" t="s">
        <v>2356</v>
      </c>
      <c r="K905" t="s">
        <v>2159</v>
      </c>
      <c r="L905" s="1" t="s">
        <v>2357</v>
      </c>
      <c r="M905" t="s">
        <v>2358</v>
      </c>
      <c r="N905" s="1" t="s">
        <v>2697</v>
      </c>
    </row>
    <row r="906" spans="1:14" x14ac:dyDescent="0.25">
      <c r="A906" t="s">
        <v>1642</v>
      </c>
      <c r="B906" t="s">
        <v>2104</v>
      </c>
      <c r="C906" t="s">
        <v>2103</v>
      </c>
      <c r="D906" s="2">
        <v>3.6827634957931399E-2</v>
      </c>
      <c r="E906" s="3">
        <v>1802244.2599748599</v>
      </c>
      <c r="H906" t="s">
        <v>1201</v>
      </c>
      <c r="I906" t="s">
        <v>2360</v>
      </c>
      <c r="J906" t="s">
        <v>2361</v>
      </c>
      <c r="K906" t="s">
        <v>2111</v>
      </c>
      <c r="L906" s="1" t="s">
        <v>2362</v>
      </c>
      <c r="M906" t="s">
        <v>2358</v>
      </c>
      <c r="N906" s="1" t="s">
        <v>2697</v>
      </c>
    </row>
    <row r="907" spans="1:14" x14ac:dyDescent="0.25">
      <c r="A907" t="s">
        <v>2100</v>
      </c>
      <c r="B907" t="s">
        <v>2104</v>
      </c>
      <c r="C907" t="s">
        <v>2103</v>
      </c>
      <c r="D907" s="2">
        <v>3.7249481014916902E-2</v>
      </c>
      <c r="E907" s="3">
        <v>1687919.70628929</v>
      </c>
      <c r="H907" t="s">
        <v>2366</v>
      </c>
      <c r="I907" t="s">
        <v>647</v>
      </c>
      <c r="J907" t="s">
        <v>2367</v>
      </c>
      <c r="K907" t="s">
        <v>2187</v>
      </c>
      <c r="L907" s="1" t="s">
        <v>2357</v>
      </c>
      <c r="M907" t="s">
        <v>2358</v>
      </c>
      <c r="N907" s="1" t="s">
        <v>2697</v>
      </c>
    </row>
    <row r="908" spans="1:14" x14ac:dyDescent="0.25">
      <c r="A908" t="s">
        <v>2101</v>
      </c>
      <c r="B908" t="s">
        <v>2104</v>
      </c>
      <c r="C908" t="s">
        <v>2103</v>
      </c>
      <c r="D908" s="2">
        <v>2.7952479253933901E-2</v>
      </c>
      <c r="E908" s="3">
        <v>4842121.7396465596</v>
      </c>
      <c r="H908" t="s">
        <v>1324</v>
      </c>
      <c r="I908" t="s">
        <v>2369</v>
      </c>
      <c r="J908" t="s">
        <v>2370</v>
      </c>
      <c r="K908" t="s">
        <v>2187</v>
      </c>
      <c r="L908" s="1" t="s">
        <v>2371</v>
      </c>
      <c r="M908" t="s">
        <v>2358</v>
      </c>
      <c r="N908" s="1" t="s">
        <v>2697</v>
      </c>
    </row>
    <row r="909" spans="1:14" x14ac:dyDescent="0.25">
      <c r="A909" t="s">
        <v>1645</v>
      </c>
      <c r="B909" t="s">
        <v>2104</v>
      </c>
      <c r="C909" t="s">
        <v>2103</v>
      </c>
      <c r="D909" s="2">
        <v>2.9323209695899698E-2</v>
      </c>
      <c r="E909" s="3">
        <v>3403334.0300761699</v>
      </c>
      <c r="H909" t="s">
        <v>232</v>
      </c>
      <c r="I909" t="s">
        <v>2374</v>
      </c>
      <c r="J909" t="s">
        <v>2375</v>
      </c>
      <c r="K909" t="s">
        <v>2044</v>
      </c>
      <c r="L909" s="1" t="s">
        <v>2376</v>
      </c>
      <c r="M909" t="s">
        <v>2358</v>
      </c>
      <c r="N909" s="1" t="s">
        <v>2697</v>
      </c>
    </row>
    <row r="910" spans="1:14" x14ac:dyDescent="0.25">
      <c r="A910" t="s">
        <v>1647</v>
      </c>
      <c r="B910" t="s">
        <v>2104</v>
      </c>
      <c r="C910" t="s">
        <v>2103</v>
      </c>
      <c r="D910" s="2">
        <v>4.5322012072085402E-2</v>
      </c>
      <c r="E910" s="3">
        <v>1006327.79721256</v>
      </c>
      <c r="H910" t="s">
        <v>732</v>
      </c>
      <c r="I910" t="s">
        <v>550</v>
      </c>
      <c r="J910" t="s">
        <v>2379</v>
      </c>
      <c r="K910" t="s">
        <v>2182</v>
      </c>
      <c r="L910" s="1" t="s">
        <v>2380</v>
      </c>
      <c r="M910" t="s">
        <v>2358</v>
      </c>
      <c r="N910" s="1" t="s">
        <v>2697</v>
      </c>
    </row>
    <row r="911" spans="1:14" x14ac:dyDescent="0.25">
      <c r="A911" t="s">
        <v>1648</v>
      </c>
      <c r="B911" t="s">
        <v>2104</v>
      </c>
      <c r="C911" t="s">
        <v>2103</v>
      </c>
      <c r="D911" s="2">
        <v>0.122503432399527</v>
      </c>
      <c r="E911" s="3">
        <v>122893.64550464301</v>
      </c>
      <c r="H911" t="s">
        <v>634</v>
      </c>
      <c r="I911" t="s">
        <v>2382</v>
      </c>
      <c r="J911" t="s">
        <v>2383</v>
      </c>
      <c r="K911" t="s">
        <v>2187</v>
      </c>
      <c r="L911" s="1" t="s">
        <v>2384</v>
      </c>
      <c r="M911" t="s">
        <v>2358</v>
      </c>
      <c r="N911" s="1" t="s">
        <v>2697</v>
      </c>
    </row>
    <row r="912" spans="1:14" x14ac:dyDescent="0.25">
      <c r="A912" t="s">
        <v>2086</v>
      </c>
      <c r="B912" t="s">
        <v>2104</v>
      </c>
      <c r="C912" t="s">
        <v>2103</v>
      </c>
      <c r="D912" s="2">
        <v>6.1028009892348002E-2</v>
      </c>
      <c r="E912" s="3">
        <v>54358.622726536603</v>
      </c>
      <c r="H912" t="s">
        <v>56</v>
      </c>
      <c r="I912" t="s">
        <v>2207</v>
      </c>
      <c r="J912" t="s">
        <v>2208</v>
      </c>
      <c r="K912" t="s">
        <v>2117</v>
      </c>
      <c r="L912" s="1" t="s">
        <v>2209</v>
      </c>
      <c r="M912" t="s">
        <v>2109</v>
      </c>
      <c r="N912" s="1" t="s">
        <v>2697</v>
      </c>
    </row>
    <row r="913" spans="1:14" x14ac:dyDescent="0.25">
      <c r="A913" t="s">
        <v>1751</v>
      </c>
      <c r="B913" t="s">
        <v>2104</v>
      </c>
      <c r="C913" t="s">
        <v>2103</v>
      </c>
      <c r="D913" s="2">
        <v>2.8697747828165199E-2</v>
      </c>
      <c r="E913" s="3">
        <v>365602.99599839898</v>
      </c>
      <c r="H913" t="s">
        <v>150</v>
      </c>
      <c r="I913" t="s">
        <v>2213</v>
      </c>
      <c r="J913" t="s">
        <v>2214</v>
      </c>
      <c r="K913" t="s">
        <v>2182</v>
      </c>
      <c r="L913" s="1" t="s">
        <v>2215</v>
      </c>
      <c r="M913" t="s">
        <v>2109</v>
      </c>
      <c r="N913" s="1" t="s">
        <v>2697</v>
      </c>
    </row>
    <row r="914" spans="1:14" x14ac:dyDescent="0.25">
      <c r="A914" t="s">
        <v>2087</v>
      </c>
      <c r="B914" t="s">
        <v>2104</v>
      </c>
      <c r="C914" t="s">
        <v>2103</v>
      </c>
      <c r="D914" s="2">
        <v>3.3917748671426599E-2</v>
      </c>
      <c r="E914" s="3">
        <v>207121.39535912601</v>
      </c>
      <c r="H914" t="s">
        <v>124</v>
      </c>
      <c r="I914" t="s">
        <v>2217</v>
      </c>
      <c r="J914" t="s">
        <v>2218</v>
      </c>
      <c r="K914" t="s">
        <v>2159</v>
      </c>
      <c r="L914" s="1" t="s">
        <v>2219</v>
      </c>
      <c r="M914" t="s">
        <v>2109</v>
      </c>
      <c r="N914" s="1" t="s">
        <v>2697</v>
      </c>
    </row>
    <row r="915" spans="1:14" x14ac:dyDescent="0.25">
      <c r="A915" t="s">
        <v>1753</v>
      </c>
      <c r="B915" t="s">
        <v>2104</v>
      </c>
      <c r="C915" t="s">
        <v>2103</v>
      </c>
      <c r="D915" s="2">
        <v>0.113735659153944</v>
      </c>
      <c r="E915" s="3">
        <v>14263.807781755901</v>
      </c>
      <c r="H915" t="s">
        <v>169</v>
      </c>
      <c r="I915" t="s">
        <v>2139</v>
      </c>
      <c r="J915" t="s">
        <v>476</v>
      </c>
      <c r="K915" t="s">
        <v>2124</v>
      </c>
      <c r="L915" s="1" t="s">
        <v>2222</v>
      </c>
      <c r="M915" t="s">
        <v>2109</v>
      </c>
      <c r="N915" s="1" t="s">
        <v>2697</v>
      </c>
    </row>
    <row r="916" spans="1:14" x14ac:dyDescent="0.25">
      <c r="A916" t="s">
        <v>2088</v>
      </c>
      <c r="B916" t="s">
        <v>2104</v>
      </c>
      <c r="C916" t="s">
        <v>2103</v>
      </c>
      <c r="D916" s="2">
        <v>3.3461921633165102E-2</v>
      </c>
      <c r="E916" s="3">
        <v>223749.28468575701</v>
      </c>
      <c r="H916" t="s">
        <v>516</v>
      </c>
      <c r="I916" t="s">
        <v>2225</v>
      </c>
      <c r="J916" t="s">
        <v>2226</v>
      </c>
      <c r="K916" t="s">
        <v>2124</v>
      </c>
      <c r="L916" s="1" t="s">
        <v>2227</v>
      </c>
      <c r="M916" t="s">
        <v>2109</v>
      </c>
      <c r="N916" s="1" t="s">
        <v>2697</v>
      </c>
    </row>
    <row r="917" spans="1:14" x14ac:dyDescent="0.25">
      <c r="A917" t="s">
        <v>1755</v>
      </c>
      <c r="B917" t="s">
        <v>2104</v>
      </c>
      <c r="C917" t="s">
        <v>2103</v>
      </c>
      <c r="D917" s="2">
        <v>3.1505812686759699E-2</v>
      </c>
      <c r="E917" s="3">
        <v>1218039.9880069899</v>
      </c>
      <c r="H917" t="s">
        <v>294</v>
      </c>
      <c r="I917" t="s">
        <v>2230</v>
      </c>
      <c r="J917" t="s">
        <v>2231</v>
      </c>
      <c r="K917" t="s">
        <v>2128</v>
      </c>
      <c r="L917" s="1" t="s">
        <v>2212</v>
      </c>
      <c r="M917" t="s">
        <v>2109</v>
      </c>
      <c r="N917" s="1" t="s">
        <v>2697</v>
      </c>
    </row>
    <row r="918" spans="1:14" x14ac:dyDescent="0.25">
      <c r="A918" t="s">
        <v>1757</v>
      </c>
      <c r="B918" t="s">
        <v>2104</v>
      </c>
      <c r="C918" t="s">
        <v>2103</v>
      </c>
      <c r="D918" s="2">
        <v>4.5643300168560899E-2</v>
      </c>
      <c r="E918" s="3">
        <v>106107.304203696</v>
      </c>
      <c r="H918" t="s">
        <v>232</v>
      </c>
      <c r="I918" t="s">
        <v>2234</v>
      </c>
      <c r="J918" t="s">
        <v>2235</v>
      </c>
      <c r="K918" t="s">
        <v>2187</v>
      </c>
      <c r="L918" s="1" t="s">
        <v>2236</v>
      </c>
      <c r="M918" t="s">
        <v>2109</v>
      </c>
      <c r="N918" s="1" t="s">
        <v>2697</v>
      </c>
    </row>
    <row r="919" spans="1:14" x14ac:dyDescent="0.25">
      <c r="A919" t="s">
        <v>1758</v>
      </c>
      <c r="B919" t="s">
        <v>2104</v>
      </c>
      <c r="C919" t="s">
        <v>2103</v>
      </c>
      <c r="D919" s="2">
        <v>6.5010184499880205E-2</v>
      </c>
      <c r="E919" s="3">
        <v>47829.651265305904</v>
      </c>
      <c r="H919" t="s">
        <v>232</v>
      </c>
      <c r="I919" t="s">
        <v>655</v>
      </c>
      <c r="J919" t="s">
        <v>2238</v>
      </c>
      <c r="K919" t="s">
        <v>2187</v>
      </c>
      <c r="L919" s="1" t="s">
        <v>2239</v>
      </c>
      <c r="M919" t="s">
        <v>2109</v>
      </c>
      <c r="N919" s="1" t="s">
        <v>2697</v>
      </c>
    </row>
    <row r="920" spans="1:14" x14ac:dyDescent="0.25">
      <c r="A920" t="s">
        <v>1759</v>
      </c>
      <c r="B920" t="s">
        <v>2104</v>
      </c>
      <c r="C920" t="s">
        <v>2103</v>
      </c>
      <c r="D920" s="2">
        <v>6.3233263142922394E-2</v>
      </c>
      <c r="E920" s="3">
        <v>50128.281557056798</v>
      </c>
      <c r="H920" t="s">
        <v>98</v>
      </c>
      <c r="I920" t="s">
        <v>2240</v>
      </c>
      <c r="J920" t="s">
        <v>2241</v>
      </c>
      <c r="K920" t="s">
        <v>2182</v>
      </c>
      <c r="L920" s="1" t="s">
        <v>2242</v>
      </c>
      <c r="M920" t="s">
        <v>2109</v>
      </c>
      <c r="N920" s="1" t="s">
        <v>2697</v>
      </c>
    </row>
    <row r="921" spans="1:14" x14ac:dyDescent="0.25">
      <c r="A921" t="s">
        <v>2089</v>
      </c>
      <c r="B921" t="s">
        <v>2104</v>
      </c>
      <c r="C921" t="s">
        <v>2103</v>
      </c>
      <c r="D921" s="2">
        <v>5.6301570799612601E-2</v>
      </c>
      <c r="E921" s="3">
        <v>2003369.6722434501</v>
      </c>
      <c r="H921" t="s">
        <v>198</v>
      </c>
      <c r="I921" t="s">
        <v>984</v>
      </c>
      <c r="J921" t="s">
        <v>2032</v>
      </c>
      <c r="K921" t="s">
        <v>2167</v>
      </c>
      <c r="L921" s="1" t="s">
        <v>2244</v>
      </c>
      <c r="M921" t="s">
        <v>2109</v>
      </c>
      <c r="N921" s="1" t="s">
        <v>2697</v>
      </c>
    </row>
    <row r="922" spans="1:14" x14ac:dyDescent="0.25">
      <c r="A922" t="s">
        <v>2090</v>
      </c>
      <c r="B922" t="s">
        <v>2104</v>
      </c>
      <c r="C922" t="s">
        <v>2103</v>
      </c>
      <c r="D922" s="2">
        <v>2.8404036026196001E-2</v>
      </c>
      <c r="E922" s="3">
        <v>926607.84874529997</v>
      </c>
      <c r="H922" t="s">
        <v>103</v>
      </c>
      <c r="I922" t="s">
        <v>2246</v>
      </c>
      <c r="J922" t="s">
        <v>2247</v>
      </c>
      <c r="K922" t="s">
        <v>2117</v>
      </c>
      <c r="L922" s="1" t="s">
        <v>2248</v>
      </c>
      <c r="M922" t="s">
        <v>2109</v>
      </c>
      <c r="N922" s="1" t="s">
        <v>2697</v>
      </c>
    </row>
    <row r="923" spans="1:14" x14ac:dyDescent="0.25">
      <c r="A923" t="s">
        <v>1763</v>
      </c>
      <c r="B923" t="s">
        <v>2104</v>
      </c>
      <c r="C923" t="s">
        <v>2103</v>
      </c>
      <c r="D923" s="2">
        <v>6.3530467772444005E-2</v>
      </c>
      <c r="E923" s="3">
        <v>50576.506175622097</v>
      </c>
      <c r="H923" t="s">
        <v>71</v>
      </c>
      <c r="I923" t="s">
        <v>2254</v>
      </c>
      <c r="J923" t="s">
        <v>3664</v>
      </c>
      <c r="K923">
        <v>15.3</v>
      </c>
      <c r="L923" s="1">
        <v>2.4740000000000002</v>
      </c>
      <c r="M923" t="s">
        <v>3665</v>
      </c>
      <c r="N923" s="1" t="s">
        <v>2697</v>
      </c>
    </row>
    <row r="924" spans="1:14" x14ac:dyDescent="0.25">
      <c r="A924" t="s">
        <v>1765</v>
      </c>
      <c r="B924" t="s">
        <v>2104</v>
      </c>
      <c r="C924" t="s">
        <v>2103</v>
      </c>
      <c r="D924" s="2">
        <v>3.4375663428698099E-2</v>
      </c>
      <c r="E924" s="3">
        <v>144603.68959689399</v>
      </c>
      <c r="H924" t="s">
        <v>98</v>
      </c>
      <c r="I924" t="s">
        <v>2258</v>
      </c>
      <c r="J924" t="s">
        <v>2259</v>
      </c>
      <c r="K924" t="s">
        <v>2111</v>
      </c>
      <c r="L924" s="1" t="s">
        <v>2260</v>
      </c>
      <c r="M924" t="s">
        <v>20</v>
      </c>
      <c r="N924" s="1" t="s">
        <v>2697</v>
      </c>
    </row>
    <row r="925" spans="1:14" x14ac:dyDescent="0.25">
      <c r="A925" t="s">
        <v>1767</v>
      </c>
      <c r="B925" t="s">
        <v>2104</v>
      </c>
      <c r="C925" t="s">
        <v>2103</v>
      </c>
      <c r="D925" s="2">
        <v>3.8834920390689497E-2</v>
      </c>
      <c r="E925" s="3">
        <v>163925.10967873401</v>
      </c>
      <c r="H925" t="s">
        <v>2263</v>
      </c>
      <c r="I925" t="s">
        <v>2264</v>
      </c>
      <c r="J925" t="s">
        <v>2265</v>
      </c>
      <c r="K925" t="s">
        <v>2159</v>
      </c>
      <c r="L925" s="1" t="s">
        <v>2266</v>
      </c>
      <c r="M925" t="s">
        <v>2109</v>
      </c>
      <c r="N925" s="1" t="s">
        <v>2697</v>
      </c>
    </row>
    <row r="926" spans="1:14" x14ac:dyDescent="0.25">
      <c r="A926" t="s">
        <v>2091</v>
      </c>
      <c r="B926" t="s">
        <v>2104</v>
      </c>
      <c r="C926" t="s">
        <v>2103</v>
      </c>
      <c r="D926" s="2">
        <v>3.8179488200315199E-2</v>
      </c>
      <c r="E926" s="3">
        <v>1546881.3552777299</v>
      </c>
      <c r="H926" t="s">
        <v>207</v>
      </c>
      <c r="I926" t="s">
        <v>2269</v>
      </c>
      <c r="J926" t="s">
        <v>2270</v>
      </c>
      <c r="K926" t="s">
        <v>2146</v>
      </c>
      <c r="L926" s="1" t="s">
        <v>2252</v>
      </c>
      <c r="M926" t="s">
        <v>2109</v>
      </c>
      <c r="N926" s="1" t="s">
        <v>2697</v>
      </c>
    </row>
    <row r="927" spans="1:14" x14ac:dyDescent="0.25">
      <c r="A927" t="s">
        <v>1769</v>
      </c>
      <c r="B927" t="s">
        <v>2104</v>
      </c>
      <c r="C927" t="s">
        <v>2103</v>
      </c>
      <c r="D927" s="2">
        <v>4.2260425871309203E-2</v>
      </c>
      <c r="E927" s="3">
        <v>119661.622586103</v>
      </c>
      <c r="H927" t="s">
        <v>177</v>
      </c>
      <c r="I927" t="s">
        <v>2273</v>
      </c>
      <c r="J927" t="s">
        <v>414</v>
      </c>
      <c r="K927" t="s">
        <v>2274</v>
      </c>
      <c r="L927" s="1" t="s">
        <v>2275</v>
      </c>
      <c r="M927" t="s">
        <v>2109</v>
      </c>
      <c r="N927" s="1" t="s">
        <v>2697</v>
      </c>
    </row>
    <row r="928" spans="1:14" x14ac:dyDescent="0.25">
      <c r="A928" t="s">
        <v>2092</v>
      </c>
      <c r="B928" t="s">
        <v>2104</v>
      </c>
      <c r="C928" t="s">
        <v>2103</v>
      </c>
      <c r="D928" s="2">
        <v>0.29889228440528198</v>
      </c>
      <c r="E928" s="3">
        <v>2046.38497462383</v>
      </c>
      <c r="H928" t="s">
        <v>27</v>
      </c>
      <c r="I928" t="s">
        <v>2055</v>
      </c>
      <c r="J928" t="s">
        <v>505</v>
      </c>
      <c r="K928" t="s">
        <v>2167</v>
      </c>
      <c r="L928" s="1" t="s">
        <v>2278</v>
      </c>
      <c r="M928" t="s">
        <v>2109</v>
      </c>
      <c r="N928" s="1" t="s">
        <v>2697</v>
      </c>
    </row>
    <row r="929" spans="1:14" x14ac:dyDescent="0.25">
      <c r="A929" t="s">
        <v>1771</v>
      </c>
      <c r="B929" t="s">
        <v>2104</v>
      </c>
      <c r="C929" t="s">
        <v>2103</v>
      </c>
      <c r="D929" s="2">
        <v>2.7156454243096002E-2</v>
      </c>
      <c r="E929" s="3">
        <v>706424.50625879294</v>
      </c>
      <c r="H929" t="s">
        <v>2281</v>
      </c>
      <c r="I929" t="s">
        <v>2282</v>
      </c>
      <c r="J929" t="s">
        <v>2283</v>
      </c>
      <c r="K929" t="s">
        <v>2111</v>
      </c>
      <c r="L929" s="1" t="s">
        <v>2284</v>
      </c>
      <c r="M929" t="s">
        <v>2109</v>
      </c>
      <c r="N929" s="1" t="s">
        <v>2697</v>
      </c>
    </row>
    <row r="930" spans="1:14" x14ac:dyDescent="0.25">
      <c r="A930" t="s">
        <v>2093</v>
      </c>
      <c r="B930" t="s">
        <v>2104</v>
      </c>
      <c r="C930" t="s">
        <v>2103</v>
      </c>
      <c r="D930" s="2">
        <v>9.5084021546376504E-2</v>
      </c>
      <c r="E930" s="3">
        <v>22133.967272948899</v>
      </c>
      <c r="H930" t="s">
        <v>98</v>
      </c>
      <c r="I930" t="s">
        <v>96</v>
      </c>
      <c r="J930" t="s">
        <v>2286</v>
      </c>
      <c r="K930" t="s">
        <v>2044</v>
      </c>
      <c r="L930" s="1" t="s">
        <v>2287</v>
      </c>
      <c r="M930" t="s">
        <v>2109</v>
      </c>
      <c r="N930" s="1" t="s">
        <v>2697</v>
      </c>
    </row>
    <row r="931" spans="1:14" x14ac:dyDescent="0.25">
      <c r="A931" t="s">
        <v>2094</v>
      </c>
      <c r="B931" t="s">
        <v>2104</v>
      </c>
      <c r="C931" t="s">
        <v>2103</v>
      </c>
      <c r="D931" s="2">
        <v>3.3294148019913102E-2</v>
      </c>
      <c r="E931" s="3">
        <v>235595.184600832</v>
      </c>
      <c r="H931" t="s">
        <v>103</v>
      </c>
      <c r="I931" t="s">
        <v>2291</v>
      </c>
      <c r="J931" t="s">
        <v>2292</v>
      </c>
      <c r="K931" t="s">
        <v>2187</v>
      </c>
      <c r="L931" s="1" t="s">
        <v>2293</v>
      </c>
      <c r="M931" t="s">
        <v>2109</v>
      </c>
      <c r="N931" s="1" t="s">
        <v>2697</v>
      </c>
    </row>
    <row r="932" spans="1:14" x14ac:dyDescent="0.25">
      <c r="A932" t="s">
        <v>1774</v>
      </c>
      <c r="B932" t="s">
        <v>2104</v>
      </c>
      <c r="C932" t="s">
        <v>2103</v>
      </c>
      <c r="D932" s="2">
        <v>3.1640164649317702E-2</v>
      </c>
      <c r="E932" s="3">
        <v>271606.84306247899</v>
      </c>
      <c r="H932" t="s">
        <v>222</v>
      </c>
      <c r="I932" t="s">
        <v>1569</v>
      </c>
      <c r="J932" t="s">
        <v>2295</v>
      </c>
      <c r="K932" t="s">
        <v>2187</v>
      </c>
      <c r="L932" s="1" t="s">
        <v>2296</v>
      </c>
      <c r="M932" t="s">
        <v>2109</v>
      </c>
      <c r="N932" s="1" t="s">
        <v>2697</v>
      </c>
    </row>
    <row r="933" spans="1:14" x14ac:dyDescent="0.25">
      <c r="A933" t="s">
        <v>1775</v>
      </c>
      <c r="B933" t="s">
        <v>2104</v>
      </c>
      <c r="C933" t="s">
        <v>2103</v>
      </c>
      <c r="D933" s="2">
        <v>6.3217672425115695E-2</v>
      </c>
      <c r="E933" s="3">
        <v>2218424.49249049</v>
      </c>
      <c r="H933" t="s">
        <v>878</v>
      </c>
      <c r="I933" t="s">
        <v>2298</v>
      </c>
      <c r="J933" t="s">
        <v>2059</v>
      </c>
      <c r="K933" t="s">
        <v>2299</v>
      </c>
      <c r="L933" s="1" t="s">
        <v>2300</v>
      </c>
      <c r="M933" t="s">
        <v>2109</v>
      </c>
      <c r="N933" s="1" t="s">
        <v>2697</v>
      </c>
    </row>
    <row r="934" spans="1:14" x14ac:dyDescent="0.25">
      <c r="A934" t="s">
        <v>1889</v>
      </c>
      <c r="B934" t="s">
        <v>2104</v>
      </c>
      <c r="C934" t="s">
        <v>2103</v>
      </c>
      <c r="D934" s="2">
        <v>3.8750907324296403E-2</v>
      </c>
      <c r="E934" s="3">
        <v>1514621.6469870899</v>
      </c>
      <c r="H934" t="s">
        <v>27</v>
      </c>
      <c r="I934" t="s">
        <v>233</v>
      </c>
      <c r="J934" t="s">
        <v>2304</v>
      </c>
      <c r="K934" t="s">
        <v>2111</v>
      </c>
      <c r="L934" s="1" t="s">
        <v>2219</v>
      </c>
      <c r="M934" t="s">
        <v>2109</v>
      </c>
      <c r="N934" s="1" t="s">
        <v>2697</v>
      </c>
    </row>
    <row r="935" spans="1:14" x14ac:dyDescent="0.25">
      <c r="A935" t="s">
        <v>1899</v>
      </c>
      <c r="B935" t="s">
        <v>2104</v>
      </c>
      <c r="C935" t="s">
        <v>2103</v>
      </c>
      <c r="D935" s="2">
        <v>3.8342980573326503E-2</v>
      </c>
      <c r="E935" s="3">
        <v>1508821.26687861</v>
      </c>
      <c r="H935" t="s">
        <v>98</v>
      </c>
      <c r="I935" t="s">
        <v>2302</v>
      </c>
      <c r="J935" t="s">
        <v>2056</v>
      </c>
      <c r="K935" t="s">
        <v>2146</v>
      </c>
      <c r="L935" s="1" t="s">
        <v>2303</v>
      </c>
      <c r="M935" t="s">
        <v>2109</v>
      </c>
      <c r="N935" s="1" t="s">
        <v>2697</v>
      </c>
    </row>
    <row r="936" spans="1:14" x14ac:dyDescent="0.25">
      <c r="A936" t="s">
        <v>1912</v>
      </c>
      <c r="B936" t="s">
        <v>2104</v>
      </c>
      <c r="C936" t="s">
        <v>2103</v>
      </c>
      <c r="D936" s="2">
        <v>0.11335468934160101</v>
      </c>
      <c r="E936" s="3">
        <v>15230.726534941699</v>
      </c>
      <c r="H936" t="s">
        <v>308</v>
      </c>
      <c r="I936" t="s">
        <v>2307</v>
      </c>
      <c r="J936" t="s">
        <v>1328</v>
      </c>
      <c r="K936" t="s">
        <v>2044</v>
      </c>
      <c r="L936" s="1" t="s">
        <v>2308</v>
      </c>
      <c r="M936" t="s">
        <v>2109</v>
      </c>
      <c r="N936" s="1" t="s">
        <v>2697</v>
      </c>
    </row>
    <row r="937" spans="1:14" x14ac:dyDescent="0.25">
      <c r="A937" t="s">
        <v>1923</v>
      </c>
      <c r="B937" t="s">
        <v>2104</v>
      </c>
      <c r="C937" t="s">
        <v>2103</v>
      </c>
      <c r="D937" s="2">
        <v>9.8008998754380905E-2</v>
      </c>
      <c r="E937" s="3">
        <v>20382.0563612714</v>
      </c>
      <c r="H937" t="s">
        <v>232</v>
      </c>
      <c r="I937" t="s">
        <v>2310</v>
      </c>
      <c r="J937" t="s">
        <v>2230</v>
      </c>
      <c r="K937" t="s">
        <v>2311</v>
      </c>
      <c r="L937" s="1" t="s">
        <v>2312</v>
      </c>
      <c r="M937" t="s">
        <v>2109</v>
      </c>
      <c r="N937" s="1" t="s">
        <v>2697</v>
      </c>
    </row>
    <row r="938" spans="1:14" x14ac:dyDescent="0.25">
      <c r="A938" t="s">
        <v>2095</v>
      </c>
      <c r="B938" t="s">
        <v>2104</v>
      </c>
      <c r="C938" t="s">
        <v>2103</v>
      </c>
      <c r="D938" s="2">
        <v>2.75403472729185E-2</v>
      </c>
      <c r="E938" s="3">
        <v>882394.60011971404</v>
      </c>
      <c r="H938" t="s">
        <v>198</v>
      </c>
      <c r="I938" t="s">
        <v>2315</v>
      </c>
      <c r="J938" t="s">
        <v>1046</v>
      </c>
      <c r="K938" t="s">
        <v>2128</v>
      </c>
      <c r="L938" s="1" t="s">
        <v>2316</v>
      </c>
      <c r="M938" t="s">
        <v>2109</v>
      </c>
      <c r="N938" s="1" t="s">
        <v>2697</v>
      </c>
    </row>
    <row r="939" spans="1:14" x14ac:dyDescent="0.25">
      <c r="A939" t="s">
        <v>1931</v>
      </c>
      <c r="B939" t="s">
        <v>2104</v>
      </c>
      <c r="C939" t="s">
        <v>2103</v>
      </c>
      <c r="D939" s="2">
        <v>3.0641605561779001E-2</v>
      </c>
      <c r="E939" s="3">
        <v>295794.92684794602</v>
      </c>
      <c r="H939" t="s">
        <v>130</v>
      </c>
      <c r="I939" t="s">
        <v>2319</v>
      </c>
      <c r="J939" t="s">
        <v>2320</v>
      </c>
      <c r="K939" t="s">
        <v>2321</v>
      </c>
      <c r="L939" s="1" t="s">
        <v>2322</v>
      </c>
      <c r="M939" t="s">
        <v>2109</v>
      </c>
      <c r="N939" s="1" t="s">
        <v>2697</v>
      </c>
    </row>
    <row r="940" spans="1:14" x14ac:dyDescent="0.25">
      <c r="A940" t="s">
        <v>2096</v>
      </c>
      <c r="B940" t="s">
        <v>2104</v>
      </c>
      <c r="C940" t="s">
        <v>2103</v>
      </c>
      <c r="D940" s="2">
        <v>2.8761227599131502E-2</v>
      </c>
      <c r="E940" s="3">
        <v>358757.20194682002</v>
      </c>
      <c r="H940" t="s">
        <v>308</v>
      </c>
      <c r="I940" t="s">
        <v>2324</v>
      </c>
      <c r="J940" t="s">
        <v>2325</v>
      </c>
      <c r="K940" t="s">
        <v>2187</v>
      </c>
      <c r="L940" s="1" t="s">
        <v>2222</v>
      </c>
      <c r="M940" t="s">
        <v>2109</v>
      </c>
      <c r="N940" s="1" t="s">
        <v>2697</v>
      </c>
    </row>
    <row r="941" spans="1:14" x14ac:dyDescent="0.25">
      <c r="A941" t="s">
        <v>2097</v>
      </c>
      <c r="B941" t="s">
        <v>2104</v>
      </c>
      <c r="C941" t="s">
        <v>2103</v>
      </c>
      <c r="D941" s="2">
        <v>9.7282381226716994E-2</v>
      </c>
      <c r="E941" s="3">
        <v>20212.043661266802</v>
      </c>
      <c r="H941" t="s">
        <v>222</v>
      </c>
      <c r="I941" t="s">
        <v>761</v>
      </c>
      <c r="J941" t="s">
        <v>2327</v>
      </c>
      <c r="K941" t="s">
        <v>2124</v>
      </c>
      <c r="L941" s="1" t="s">
        <v>2252</v>
      </c>
      <c r="M941" t="s">
        <v>2109</v>
      </c>
      <c r="N941" s="1" t="s">
        <v>2697</v>
      </c>
    </row>
    <row r="942" spans="1:14" x14ac:dyDescent="0.25">
      <c r="A942" t="s">
        <v>1935</v>
      </c>
      <c r="B942" t="s">
        <v>2104</v>
      </c>
      <c r="C942" t="s">
        <v>2103</v>
      </c>
      <c r="D942" s="2">
        <v>2.9185743398320699E-2</v>
      </c>
      <c r="E942" s="3">
        <v>106322.98929277901</v>
      </c>
      <c r="H942" t="s">
        <v>150</v>
      </c>
      <c r="I942" t="s">
        <v>2330</v>
      </c>
      <c r="J942" t="s">
        <v>2331</v>
      </c>
      <c r="K942" t="s">
        <v>2044</v>
      </c>
      <c r="L942" s="1" t="s">
        <v>2308</v>
      </c>
      <c r="M942" t="s">
        <v>20</v>
      </c>
      <c r="N942" s="1" t="s">
        <v>2697</v>
      </c>
    </row>
    <row r="943" spans="1:14" x14ac:dyDescent="0.25">
      <c r="A943" t="s">
        <v>1936</v>
      </c>
      <c r="B943" t="s">
        <v>2104</v>
      </c>
      <c r="C943" t="s">
        <v>2103</v>
      </c>
      <c r="D943" s="2">
        <v>3.0604976673787102E-2</v>
      </c>
      <c r="E943" s="3">
        <v>30032.8259150993</v>
      </c>
      <c r="H943" t="s">
        <v>98</v>
      </c>
      <c r="I943" t="s">
        <v>2332</v>
      </c>
      <c r="J943" t="s">
        <v>2333</v>
      </c>
      <c r="K943" t="s">
        <v>2044</v>
      </c>
      <c r="L943" s="1" t="s">
        <v>2334</v>
      </c>
      <c r="M943" t="s">
        <v>20</v>
      </c>
      <c r="N943" s="1" t="s">
        <v>2697</v>
      </c>
    </row>
    <row r="944" spans="1:14" x14ac:dyDescent="0.25">
      <c r="A944" t="s">
        <v>2098</v>
      </c>
      <c r="B944" t="s">
        <v>2104</v>
      </c>
      <c r="C944" t="s">
        <v>2103</v>
      </c>
      <c r="D944" s="2">
        <v>0.16806787537935</v>
      </c>
      <c r="E944" s="3">
        <v>6804.7329263607298</v>
      </c>
      <c r="H944" t="s">
        <v>38</v>
      </c>
      <c r="I944" t="s">
        <v>2336</v>
      </c>
      <c r="J944" t="s">
        <v>2337</v>
      </c>
      <c r="K944" t="s">
        <v>2140</v>
      </c>
      <c r="L944" s="1" t="s">
        <v>2312</v>
      </c>
      <c r="M944" t="s">
        <v>2109</v>
      </c>
      <c r="N944" s="1" t="s">
        <v>2697</v>
      </c>
    </row>
    <row r="945" spans="1:14" x14ac:dyDescent="0.25">
      <c r="A945" t="s">
        <v>1941</v>
      </c>
      <c r="B945" t="s">
        <v>2104</v>
      </c>
      <c r="C945" t="s">
        <v>2103</v>
      </c>
      <c r="D945" s="2">
        <v>2.8254264728569199E-2</v>
      </c>
      <c r="E945" s="3">
        <v>901090.22594016802</v>
      </c>
      <c r="H945" t="s">
        <v>150</v>
      </c>
      <c r="I945" t="s">
        <v>2339</v>
      </c>
      <c r="J945" t="s">
        <v>2340</v>
      </c>
      <c r="K945" t="s">
        <v>2111</v>
      </c>
      <c r="L945" s="1" t="s">
        <v>2341</v>
      </c>
      <c r="M945" t="s">
        <v>2109</v>
      </c>
      <c r="N945" s="1" t="s">
        <v>2697</v>
      </c>
    </row>
    <row r="946" spans="1:14" x14ac:dyDescent="0.25">
      <c r="A946" t="s">
        <v>2099</v>
      </c>
      <c r="B946" t="s">
        <v>2104</v>
      </c>
      <c r="C946" t="s">
        <v>2103</v>
      </c>
      <c r="D946" s="2">
        <v>8.5679995447526205E-2</v>
      </c>
      <c r="E946" s="3">
        <v>2523373.6073383698</v>
      </c>
      <c r="H946" t="s">
        <v>27</v>
      </c>
      <c r="I946" t="s">
        <v>17</v>
      </c>
      <c r="J946" t="s">
        <v>142</v>
      </c>
      <c r="K946" t="s">
        <v>2343</v>
      </c>
      <c r="L946" s="1" t="s">
        <v>2344</v>
      </c>
      <c r="M946" t="s">
        <v>2109</v>
      </c>
      <c r="N946" s="1" t="s">
        <v>2697</v>
      </c>
    </row>
    <row r="947" spans="1:14" x14ac:dyDescent="0.25">
      <c r="A947" t="s">
        <v>1947</v>
      </c>
      <c r="B947" t="s">
        <v>2104</v>
      </c>
      <c r="C947" t="s">
        <v>2103</v>
      </c>
      <c r="D947" s="2">
        <v>2.8004182656967299E-2</v>
      </c>
      <c r="E947" s="3">
        <v>939079.69871084299</v>
      </c>
      <c r="H947" t="s">
        <v>27</v>
      </c>
      <c r="I947" t="s">
        <v>960</v>
      </c>
      <c r="J947" t="s">
        <v>2347</v>
      </c>
      <c r="K947" t="s">
        <v>2124</v>
      </c>
      <c r="L947" s="1" t="s">
        <v>2348</v>
      </c>
      <c r="M947" t="s">
        <v>2109</v>
      </c>
      <c r="N947" s="1" t="s">
        <v>2697</v>
      </c>
    </row>
    <row r="948" spans="1:14" x14ac:dyDescent="0.25">
      <c r="A948" t="s">
        <v>1969</v>
      </c>
      <c r="B948" t="s">
        <v>2104</v>
      </c>
      <c r="C948" t="s">
        <v>2103</v>
      </c>
      <c r="D948" s="2">
        <v>4.4692686695757898E-2</v>
      </c>
      <c r="E948" s="3">
        <v>110738.33605775901</v>
      </c>
      <c r="H948" t="s">
        <v>41</v>
      </c>
      <c r="I948" t="s">
        <v>2351</v>
      </c>
      <c r="J948" t="s">
        <v>2352</v>
      </c>
      <c r="K948" t="s">
        <v>2187</v>
      </c>
      <c r="L948" s="1" t="s">
        <v>2353</v>
      </c>
      <c r="M948" t="s">
        <v>2109</v>
      </c>
      <c r="N948" s="1" t="s">
        <v>2697</v>
      </c>
    </row>
    <row r="949" spans="1:14" x14ac:dyDescent="0.25">
      <c r="A949" t="s">
        <v>1609</v>
      </c>
      <c r="B949" t="s">
        <v>2105</v>
      </c>
      <c r="C949" t="s">
        <v>3362</v>
      </c>
      <c r="D949" s="2" t="s">
        <v>20</v>
      </c>
      <c r="E949" s="3">
        <v>0</v>
      </c>
      <c r="F949" s="3">
        <f>E949/6</f>
        <v>0</v>
      </c>
      <c r="G949" s="3">
        <f t="shared" ref="G949:G980" si="0">F949/2</f>
        <v>0</v>
      </c>
      <c r="H949" t="s">
        <v>124</v>
      </c>
      <c r="I949" t="s">
        <v>201</v>
      </c>
      <c r="J949" t="s">
        <v>124</v>
      </c>
      <c r="K949" t="s">
        <v>2398</v>
      </c>
      <c r="L949" s="1" t="s">
        <v>2344</v>
      </c>
      <c r="M949" t="s">
        <v>20</v>
      </c>
      <c r="N949" s="1" t="s">
        <v>2697</v>
      </c>
    </row>
    <row r="950" spans="1:14" x14ac:dyDescent="0.25">
      <c r="A950" t="s">
        <v>2102</v>
      </c>
      <c r="B950" t="s">
        <v>2105</v>
      </c>
      <c r="C950" t="s">
        <v>3362</v>
      </c>
      <c r="D950" s="2" t="s">
        <v>20</v>
      </c>
      <c r="E950" s="3">
        <v>0</v>
      </c>
      <c r="F950" s="3">
        <f>E950/6</f>
        <v>0</v>
      </c>
      <c r="G950" s="3">
        <f t="shared" si="0"/>
        <v>0</v>
      </c>
      <c r="H950" t="s">
        <v>284</v>
      </c>
      <c r="I950" t="s">
        <v>201</v>
      </c>
      <c r="J950" t="s">
        <v>284</v>
      </c>
      <c r="K950" t="s">
        <v>2398</v>
      </c>
      <c r="L950" s="1" t="s">
        <v>2400</v>
      </c>
      <c r="M950" t="s">
        <v>20</v>
      </c>
      <c r="N950" s="1" t="s">
        <v>2697</v>
      </c>
    </row>
    <row r="951" spans="1:14" x14ac:dyDescent="0.25">
      <c r="A951" t="s">
        <v>3359</v>
      </c>
      <c r="B951" t="s">
        <v>2105</v>
      </c>
      <c r="C951" t="s">
        <v>3362</v>
      </c>
      <c r="D951" s="2">
        <v>3.8556129014776598E-2</v>
      </c>
      <c r="E951" s="3">
        <v>15211176.4983519</v>
      </c>
      <c r="F951" s="3">
        <f>E951/6</f>
        <v>2535196.0830586501</v>
      </c>
      <c r="G951" s="3">
        <f t="shared" si="0"/>
        <v>1267598.0415293251</v>
      </c>
      <c r="H951" t="s">
        <v>301</v>
      </c>
      <c r="I951" t="s">
        <v>2396</v>
      </c>
      <c r="J951" t="s">
        <v>34</v>
      </c>
      <c r="K951" t="s">
        <v>2114</v>
      </c>
      <c r="L951" s="1" t="s">
        <v>2395</v>
      </c>
      <c r="M951" t="s">
        <v>2389</v>
      </c>
      <c r="N951" s="1" t="s">
        <v>2697</v>
      </c>
    </row>
    <row r="952" spans="1:14" x14ac:dyDescent="0.25">
      <c r="A952" t="s">
        <v>3358</v>
      </c>
      <c r="B952" t="s">
        <v>2105</v>
      </c>
      <c r="C952" t="s">
        <v>3362</v>
      </c>
      <c r="D952" s="2" t="s">
        <v>20</v>
      </c>
      <c r="E952" s="3">
        <v>0</v>
      </c>
      <c r="F952" s="3">
        <f>E952/6</f>
        <v>0</v>
      </c>
      <c r="G952" s="3">
        <f t="shared" si="0"/>
        <v>0</v>
      </c>
      <c r="H952" t="s">
        <v>162</v>
      </c>
      <c r="I952" t="s">
        <v>201</v>
      </c>
      <c r="J952" t="s">
        <v>162</v>
      </c>
      <c r="K952" t="s">
        <v>2047</v>
      </c>
      <c r="L952" s="1" t="s">
        <v>2388</v>
      </c>
      <c r="M952" t="s">
        <v>2389</v>
      </c>
      <c r="N952" s="1" t="s">
        <v>2697</v>
      </c>
    </row>
    <row r="953" spans="1:14" x14ac:dyDescent="0.25">
      <c r="A953" t="s">
        <v>3356</v>
      </c>
      <c r="B953" t="s">
        <v>2105</v>
      </c>
      <c r="C953" t="s">
        <v>3362</v>
      </c>
      <c r="D953" s="2">
        <v>3.0715420400506701E-2</v>
      </c>
      <c r="E953" s="3">
        <v>28390433.816862501</v>
      </c>
      <c r="F953" s="3">
        <f>E953/6</f>
        <v>4731738.9694770835</v>
      </c>
      <c r="G953" s="3">
        <f t="shared" si="0"/>
        <v>2365869.4847385418</v>
      </c>
      <c r="H953" t="s">
        <v>232</v>
      </c>
      <c r="I953" t="s">
        <v>2391</v>
      </c>
      <c r="J953" t="s">
        <v>2067</v>
      </c>
      <c r="K953" t="s">
        <v>2121</v>
      </c>
      <c r="L953" s="1" t="s">
        <v>2390</v>
      </c>
      <c r="M953" t="s">
        <v>2389</v>
      </c>
      <c r="N953" s="1" t="s">
        <v>2697</v>
      </c>
    </row>
    <row r="954" spans="1:14" x14ac:dyDescent="0.25">
      <c r="A954" t="s">
        <v>10</v>
      </c>
      <c r="B954" t="s">
        <v>2105</v>
      </c>
      <c r="C954" t="s">
        <v>3362</v>
      </c>
      <c r="D954" s="2" t="s">
        <v>20</v>
      </c>
      <c r="E954" s="3" t="s">
        <v>20</v>
      </c>
      <c r="G954" s="3">
        <f t="shared" si="0"/>
        <v>0</v>
      </c>
      <c r="H954" t="s">
        <v>124</v>
      </c>
      <c r="I954" t="s">
        <v>201</v>
      </c>
      <c r="J954" t="s">
        <v>124</v>
      </c>
      <c r="K954" t="s">
        <v>2402</v>
      </c>
      <c r="L954" s="1" t="s">
        <v>2401</v>
      </c>
      <c r="M954" t="s">
        <v>20</v>
      </c>
      <c r="N954" s="1" t="s">
        <v>2697</v>
      </c>
    </row>
    <row r="955" spans="1:14" x14ac:dyDescent="0.25">
      <c r="A955" t="s">
        <v>1612</v>
      </c>
      <c r="B955" t="s">
        <v>2105</v>
      </c>
      <c r="C955" t="s">
        <v>3362</v>
      </c>
      <c r="D955" s="2">
        <v>5.3506980229552102E-2</v>
      </c>
      <c r="E955" s="3">
        <v>1921513.6899421201</v>
      </c>
      <c r="F955" s="3">
        <f t="shared" ref="F955:F986" si="1">E955/6</f>
        <v>320252.28165702004</v>
      </c>
      <c r="G955" s="3">
        <f t="shared" si="0"/>
        <v>160126.14082851002</v>
      </c>
      <c r="H955" t="s">
        <v>136</v>
      </c>
      <c r="I955" t="s">
        <v>598</v>
      </c>
      <c r="J955" t="s">
        <v>1104</v>
      </c>
      <c r="K955" t="s">
        <v>2044</v>
      </c>
      <c r="L955" s="1" t="s">
        <v>2108</v>
      </c>
      <c r="M955" t="s">
        <v>2109</v>
      </c>
      <c r="N955" s="1" t="s">
        <v>2697</v>
      </c>
    </row>
    <row r="956" spans="1:14" x14ac:dyDescent="0.25">
      <c r="A956" t="s">
        <v>1614</v>
      </c>
      <c r="B956" t="s">
        <v>2105</v>
      </c>
      <c r="C956" t="s">
        <v>3362</v>
      </c>
      <c r="D956" s="2">
        <v>3.2857933094318399E-2</v>
      </c>
      <c r="E956" s="3">
        <v>1215564.3099268801</v>
      </c>
      <c r="F956" s="3">
        <f t="shared" si="1"/>
        <v>202594.05165448002</v>
      </c>
      <c r="G956" s="3">
        <f t="shared" si="0"/>
        <v>101297.02582724001</v>
      </c>
      <c r="H956" t="s">
        <v>893</v>
      </c>
      <c r="I956" t="s">
        <v>2113</v>
      </c>
      <c r="J956" t="s">
        <v>2057</v>
      </c>
      <c r="K956" t="s">
        <v>2114</v>
      </c>
      <c r="L956" s="1" t="s">
        <v>2112</v>
      </c>
      <c r="M956" t="s">
        <v>2109</v>
      </c>
      <c r="N956" s="1" t="s">
        <v>2697</v>
      </c>
    </row>
    <row r="957" spans="1:14" x14ac:dyDescent="0.25">
      <c r="A957" t="s">
        <v>1615</v>
      </c>
      <c r="B957" t="s">
        <v>2105</v>
      </c>
      <c r="C957" t="s">
        <v>3362</v>
      </c>
      <c r="D957" s="2">
        <v>4.80228712363788E-2</v>
      </c>
      <c r="E957" s="3">
        <v>86763.952778525898</v>
      </c>
      <c r="F957" s="3">
        <f t="shared" si="1"/>
        <v>14460.658796420983</v>
      </c>
      <c r="G957" s="3">
        <f t="shared" si="0"/>
        <v>7230.3293982104915</v>
      </c>
      <c r="H957" t="s">
        <v>149</v>
      </c>
      <c r="I957" t="s">
        <v>2119</v>
      </c>
      <c r="J957" t="s">
        <v>2120</v>
      </c>
      <c r="K957" t="s">
        <v>2121</v>
      </c>
      <c r="L957" s="1" t="s">
        <v>2118</v>
      </c>
      <c r="M957" t="s">
        <v>2109</v>
      </c>
      <c r="N957" s="1" t="s">
        <v>2697</v>
      </c>
    </row>
    <row r="958" spans="1:14" x14ac:dyDescent="0.25">
      <c r="A958" t="s">
        <v>1616</v>
      </c>
      <c r="B958" t="s">
        <v>2105</v>
      </c>
      <c r="C958" t="s">
        <v>3362</v>
      </c>
      <c r="D958" s="2">
        <v>2.8508722468093502E-2</v>
      </c>
      <c r="E958" s="3">
        <v>361907.34748583601</v>
      </c>
      <c r="F958" s="3">
        <f t="shared" si="1"/>
        <v>60317.891247639338</v>
      </c>
      <c r="G958" s="3">
        <f t="shared" si="0"/>
        <v>30158.945623819669</v>
      </c>
      <c r="H958" t="s">
        <v>227</v>
      </c>
      <c r="I958" t="s">
        <v>2126</v>
      </c>
      <c r="J958" t="s">
        <v>2127</v>
      </c>
      <c r="K958" t="s">
        <v>2128</v>
      </c>
      <c r="L958" s="1" t="s">
        <v>2125</v>
      </c>
      <c r="M958" t="s">
        <v>2109</v>
      </c>
      <c r="N958" s="1" t="s">
        <v>2697</v>
      </c>
    </row>
    <row r="959" spans="1:14" x14ac:dyDescent="0.25">
      <c r="A959" t="s">
        <v>1617</v>
      </c>
      <c r="B959" t="s">
        <v>2105</v>
      </c>
      <c r="C959" t="s">
        <v>3362</v>
      </c>
      <c r="D959" s="2">
        <v>5.2279102846743697E-2</v>
      </c>
      <c r="E959" s="3">
        <v>187595.61654319201</v>
      </c>
      <c r="F959" s="3">
        <f t="shared" si="1"/>
        <v>31265.936090532003</v>
      </c>
      <c r="G959" s="3">
        <f t="shared" si="0"/>
        <v>15632.968045266001</v>
      </c>
      <c r="H959" t="s">
        <v>898</v>
      </c>
      <c r="I959" t="s">
        <v>461</v>
      </c>
      <c r="J959" t="s">
        <v>2051</v>
      </c>
      <c r="K959" t="s">
        <v>2131</v>
      </c>
      <c r="L959" s="1" t="s">
        <v>2130</v>
      </c>
      <c r="M959" t="s">
        <v>20</v>
      </c>
      <c r="N959" s="1" t="s">
        <v>2697</v>
      </c>
    </row>
    <row r="960" spans="1:14" x14ac:dyDescent="0.25">
      <c r="A960" t="s">
        <v>2079</v>
      </c>
      <c r="B960" t="s">
        <v>2105</v>
      </c>
      <c r="C960" t="s">
        <v>3362</v>
      </c>
      <c r="D960" s="2">
        <v>4.1524395912062202E-2</v>
      </c>
      <c r="E960" s="3">
        <v>120332.89030827901</v>
      </c>
      <c r="F960" s="3">
        <f t="shared" si="1"/>
        <v>20055.4817180465</v>
      </c>
      <c r="G960" s="3">
        <f t="shared" si="0"/>
        <v>10027.74085902325</v>
      </c>
      <c r="H960" t="s">
        <v>149</v>
      </c>
      <c r="I960" t="s">
        <v>2135</v>
      </c>
      <c r="J960" t="s">
        <v>2136</v>
      </c>
      <c r="K960" t="s">
        <v>2137</v>
      </c>
      <c r="L960" s="1" t="s">
        <v>2134</v>
      </c>
      <c r="M960" t="s">
        <v>2109</v>
      </c>
      <c r="N960" s="1" t="s">
        <v>2697</v>
      </c>
    </row>
    <row r="961" spans="1:14" x14ac:dyDescent="0.25">
      <c r="A961" t="s">
        <v>1621</v>
      </c>
      <c r="B961" t="s">
        <v>2105</v>
      </c>
      <c r="C961" t="s">
        <v>3362</v>
      </c>
      <c r="D961" s="2">
        <v>2.84292156216958E-2</v>
      </c>
      <c r="E961" s="3">
        <v>373727.56603590399</v>
      </c>
      <c r="F961" s="3">
        <f t="shared" si="1"/>
        <v>62287.927672650665</v>
      </c>
      <c r="G961" s="3">
        <f t="shared" si="0"/>
        <v>31143.963836325333</v>
      </c>
      <c r="H961" t="s">
        <v>297</v>
      </c>
      <c r="I961" t="s">
        <v>2142</v>
      </c>
      <c r="J961" t="s">
        <v>2143</v>
      </c>
      <c r="K961" t="s">
        <v>2117</v>
      </c>
      <c r="L961" s="1" t="s">
        <v>2141</v>
      </c>
      <c r="M961" t="s">
        <v>2109</v>
      </c>
      <c r="N961" s="1" t="s">
        <v>2697</v>
      </c>
    </row>
    <row r="962" spans="1:14" x14ac:dyDescent="0.25">
      <c r="A962" t="s">
        <v>1623</v>
      </c>
      <c r="B962" t="s">
        <v>2105</v>
      </c>
      <c r="C962" t="s">
        <v>3362</v>
      </c>
      <c r="D962" s="2">
        <v>3.9334975304296103E-2</v>
      </c>
      <c r="E962" s="3">
        <v>1543764.9021633</v>
      </c>
      <c r="F962" s="3">
        <f t="shared" si="1"/>
        <v>257294.15036055</v>
      </c>
      <c r="G962" s="3">
        <f t="shared" si="0"/>
        <v>128647.075180275</v>
      </c>
      <c r="H962" t="s">
        <v>893</v>
      </c>
      <c r="I962" t="s">
        <v>2148</v>
      </c>
      <c r="J962" t="s">
        <v>2149</v>
      </c>
      <c r="K962" t="s">
        <v>2150</v>
      </c>
      <c r="L962" s="1" t="s">
        <v>2147</v>
      </c>
      <c r="M962" t="s">
        <v>2109</v>
      </c>
      <c r="N962" s="1" t="s">
        <v>2697</v>
      </c>
    </row>
    <row r="963" spans="1:14" x14ac:dyDescent="0.25">
      <c r="A963" t="s">
        <v>2080</v>
      </c>
      <c r="B963" t="s">
        <v>2105</v>
      </c>
      <c r="C963" t="s">
        <v>3362</v>
      </c>
      <c r="D963" s="2">
        <v>2.7599769606288599E-2</v>
      </c>
      <c r="E963" s="3">
        <v>438875.63475416403</v>
      </c>
      <c r="F963" s="3">
        <f t="shared" si="1"/>
        <v>73145.939125694</v>
      </c>
      <c r="G963" s="3">
        <f t="shared" si="0"/>
        <v>36572.969562847</v>
      </c>
      <c r="H963" t="s">
        <v>198</v>
      </c>
      <c r="I963" t="s">
        <v>2154</v>
      </c>
      <c r="J963" t="s">
        <v>2155</v>
      </c>
      <c r="K963" t="s">
        <v>2150</v>
      </c>
      <c r="L963" s="1" t="s">
        <v>2153</v>
      </c>
      <c r="M963" t="s">
        <v>2109</v>
      </c>
      <c r="N963" s="1" t="s">
        <v>2697</v>
      </c>
    </row>
    <row r="964" spans="1:14" x14ac:dyDescent="0.25">
      <c r="A964" t="s">
        <v>1627</v>
      </c>
      <c r="B964" t="s">
        <v>2105</v>
      </c>
      <c r="C964" t="s">
        <v>3362</v>
      </c>
      <c r="D964" s="2">
        <v>5.3802499265185197E-2</v>
      </c>
      <c r="E964" s="3">
        <v>1959509.1520930601</v>
      </c>
      <c r="F964" s="3">
        <f t="shared" si="1"/>
        <v>326584.85868217668</v>
      </c>
      <c r="G964" s="3">
        <f t="shared" si="0"/>
        <v>163292.42934108834</v>
      </c>
      <c r="H964" t="s">
        <v>98</v>
      </c>
      <c r="I964" t="s">
        <v>287</v>
      </c>
      <c r="J964" t="s">
        <v>2049</v>
      </c>
      <c r="K964" t="s">
        <v>2121</v>
      </c>
      <c r="L964" s="1" t="s">
        <v>2157</v>
      </c>
      <c r="M964" t="s">
        <v>2109</v>
      </c>
      <c r="N964" s="1" t="s">
        <v>2697</v>
      </c>
    </row>
    <row r="965" spans="1:14" x14ac:dyDescent="0.25">
      <c r="A965" t="s">
        <v>2081</v>
      </c>
      <c r="B965" t="s">
        <v>2105</v>
      </c>
      <c r="C965" t="s">
        <v>3362</v>
      </c>
      <c r="D965" s="2">
        <v>3.9085571323123902E-2</v>
      </c>
      <c r="E965" s="3">
        <v>140509.24286713201</v>
      </c>
      <c r="F965" s="3">
        <f t="shared" si="1"/>
        <v>23418.207144522003</v>
      </c>
      <c r="G965" s="3">
        <f t="shared" si="0"/>
        <v>11709.103572261001</v>
      </c>
      <c r="H965" t="s">
        <v>570</v>
      </c>
      <c r="I965" t="s">
        <v>2160</v>
      </c>
      <c r="J965" t="s">
        <v>760</v>
      </c>
      <c r="K965" t="s">
        <v>2121</v>
      </c>
      <c r="L965" s="1" t="s">
        <v>2134</v>
      </c>
      <c r="M965" t="s">
        <v>2109</v>
      </c>
      <c r="N965" s="1" t="s">
        <v>2697</v>
      </c>
    </row>
    <row r="966" spans="1:14" x14ac:dyDescent="0.25">
      <c r="A966" t="s">
        <v>1629</v>
      </c>
      <c r="B966" t="s">
        <v>2105</v>
      </c>
      <c r="C966" t="s">
        <v>3362</v>
      </c>
      <c r="D966" s="2">
        <v>2.68217758871226E-2</v>
      </c>
      <c r="E966" s="3">
        <v>656961.85716664698</v>
      </c>
      <c r="F966" s="3">
        <f t="shared" si="1"/>
        <v>109493.64286110783</v>
      </c>
      <c r="G966" s="3">
        <f t="shared" si="0"/>
        <v>54746.821430553915</v>
      </c>
      <c r="H966" t="s">
        <v>294</v>
      </c>
      <c r="I966" t="s">
        <v>2163</v>
      </c>
      <c r="J966" t="s">
        <v>2164</v>
      </c>
      <c r="K966" t="s">
        <v>2124</v>
      </c>
      <c r="L966" s="1" t="s">
        <v>2162</v>
      </c>
      <c r="M966" t="s">
        <v>2109</v>
      </c>
      <c r="N966" s="1" t="s">
        <v>2697</v>
      </c>
    </row>
    <row r="967" spans="1:14" x14ac:dyDescent="0.25">
      <c r="A967" t="s">
        <v>1630</v>
      </c>
      <c r="B967" t="s">
        <v>2105</v>
      </c>
      <c r="C967" t="s">
        <v>3362</v>
      </c>
      <c r="D967" s="2">
        <v>2.8582125773031201E-2</v>
      </c>
      <c r="E967" s="3">
        <v>369759.362107291</v>
      </c>
      <c r="F967" s="3">
        <f t="shared" si="1"/>
        <v>61626.560351215165</v>
      </c>
      <c r="G967" s="3">
        <f t="shared" si="0"/>
        <v>30813.280175607582</v>
      </c>
      <c r="H967" t="s">
        <v>98</v>
      </c>
      <c r="I967" t="s">
        <v>2169</v>
      </c>
      <c r="J967" t="s">
        <v>2170</v>
      </c>
      <c r="K967" t="s">
        <v>2121</v>
      </c>
      <c r="L967" s="1" t="s">
        <v>2168</v>
      </c>
      <c r="M967" t="s">
        <v>2109</v>
      </c>
      <c r="N967" s="1" t="s">
        <v>2697</v>
      </c>
    </row>
    <row r="968" spans="1:14" x14ac:dyDescent="0.25">
      <c r="A968" t="s">
        <v>2082</v>
      </c>
      <c r="B968" t="s">
        <v>2105</v>
      </c>
      <c r="C968" t="s">
        <v>3362</v>
      </c>
      <c r="D968" s="2">
        <v>0.121092809010827</v>
      </c>
      <c r="E968" s="3">
        <v>13178.0291328597</v>
      </c>
      <c r="F968" s="3">
        <f t="shared" si="1"/>
        <v>2196.3381888099498</v>
      </c>
      <c r="G968" s="3">
        <f t="shared" si="0"/>
        <v>1098.1690944049749</v>
      </c>
      <c r="H968" t="s">
        <v>297</v>
      </c>
      <c r="I968" t="s">
        <v>2174</v>
      </c>
      <c r="J968" t="s">
        <v>2175</v>
      </c>
      <c r="K968" t="s">
        <v>2137</v>
      </c>
      <c r="L968" s="1" t="s">
        <v>2173</v>
      </c>
      <c r="M968" t="s">
        <v>2109</v>
      </c>
      <c r="N968" s="1" t="s">
        <v>2697</v>
      </c>
    </row>
    <row r="969" spans="1:14" x14ac:dyDescent="0.25">
      <c r="A969" t="s">
        <v>2083</v>
      </c>
      <c r="B969" t="s">
        <v>2105</v>
      </c>
      <c r="C969" t="s">
        <v>3362</v>
      </c>
      <c r="D969" s="2">
        <v>2.7394428611301501E-2</v>
      </c>
      <c r="E969" s="3">
        <v>822225.83421051002</v>
      </c>
      <c r="F969" s="3">
        <f t="shared" si="1"/>
        <v>137037.63903508501</v>
      </c>
      <c r="G969" s="3">
        <f t="shared" si="0"/>
        <v>68518.819517542506</v>
      </c>
      <c r="H969" t="s">
        <v>468</v>
      </c>
      <c r="I969" t="s">
        <v>2179</v>
      </c>
      <c r="J969" t="s">
        <v>2180</v>
      </c>
      <c r="K969" t="s">
        <v>2111</v>
      </c>
      <c r="L969" s="1" t="s">
        <v>2178</v>
      </c>
      <c r="M969" t="s">
        <v>2109</v>
      </c>
      <c r="N969" s="1" t="s">
        <v>2697</v>
      </c>
    </row>
    <row r="970" spans="1:14" x14ac:dyDescent="0.25">
      <c r="A970" t="s">
        <v>2084</v>
      </c>
      <c r="B970" t="s">
        <v>2105</v>
      </c>
      <c r="C970" t="s">
        <v>3362</v>
      </c>
      <c r="D970" s="2">
        <v>2.98909416662623E-2</v>
      </c>
      <c r="E970" s="3">
        <v>1071488.7527697801</v>
      </c>
      <c r="F970" s="3">
        <f t="shared" si="1"/>
        <v>178581.45879496334</v>
      </c>
      <c r="G970" s="3">
        <f t="shared" si="0"/>
        <v>89290.729397481671</v>
      </c>
      <c r="H970" t="s">
        <v>297</v>
      </c>
      <c r="I970" t="s">
        <v>2184</v>
      </c>
      <c r="J970" t="s">
        <v>2185</v>
      </c>
      <c r="K970" t="s">
        <v>2117</v>
      </c>
      <c r="L970" s="1" t="s">
        <v>2183</v>
      </c>
      <c r="M970" t="s">
        <v>2109</v>
      </c>
      <c r="N970" s="1" t="s">
        <v>2697</v>
      </c>
    </row>
    <row r="971" spans="1:14" x14ac:dyDescent="0.25">
      <c r="A971" t="s">
        <v>1636</v>
      </c>
      <c r="B971" t="s">
        <v>2105</v>
      </c>
      <c r="C971" t="s">
        <v>3362</v>
      </c>
      <c r="D971" s="2">
        <v>2.94644688932801E-2</v>
      </c>
      <c r="E971" s="3">
        <v>989779.22310282197</v>
      </c>
      <c r="F971" s="3">
        <f t="shared" si="1"/>
        <v>164963.20385047034</v>
      </c>
      <c r="G971" s="3">
        <f t="shared" si="0"/>
        <v>82481.601925235169</v>
      </c>
      <c r="H971" t="s">
        <v>56</v>
      </c>
      <c r="I971" t="s">
        <v>704</v>
      </c>
      <c r="J971" t="s">
        <v>2189</v>
      </c>
      <c r="K971" t="s">
        <v>2111</v>
      </c>
      <c r="L971" s="1" t="s">
        <v>2188</v>
      </c>
      <c r="M971" t="s">
        <v>2109</v>
      </c>
      <c r="N971" s="1" t="s">
        <v>2697</v>
      </c>
    </row>
    <row r="972" spans="1:14" x14ac:dyDescent="0.25">
      <c r="A972" t="s">
        <v>2085</v>
      </c>
      <c r="B972" t="s">
        <v>2105</v>
      </c>
      <c r="C972" t="s">
        <v>3362</v>
      </c>
      <c r="D972" s="2">
        <v>3.3570958255693201E-2</v>
      </c>
      <c r="E972" s="3">
        <v>1271237.3631454101</v>
      </c>
      <c r="F972" s="3">
        <f t="shared" si="1"/>
        <v>211872.89385756836</v>
      </c>
      <c r="G972" s="3">
        <f t="shared" si="0"/>
        <v>105936.44692878418</v>
      </c>
      <c r="H972" t="s">
        <v>27</v>
      </c>
      <c r="I972" t="s">
        <v>2193</v>
      </c>
      <c r="J972" t="s">
        <v>2194</v>
      </c>
      <c r="K972" t="s">
        <v>2128</v>
      </c>
      <c r="L972" s="1" t="s">
        <v>2192</v>
      </c>
      <c r="M972" t="s">
        <v>2109</v>
      </c>
      <c r="N972" s="1" t="s">
        <v>2697</v>
      </c>
    </row>
    <row r="973" spans="1:14" x14ac:dyDescent="0.25">
      <c r="A973" t="s">
        <v>1638</v>
      </c>
      <c r="B973" t="s">
        <v>2105</v>
      </c>
      <c r="C973" t="s">
        <v>3362</v>
      </c>
      <c r="D973" s="2">
        <v>3.7631452592723103E-2</v>
      </c>
      <c r="E973" s="3">
        <v>1497038.37003128</v>
      </c>
      <c r="F973" s="3">
        <f t="shared" si="1"/>
        <v>249506.39500521333</v>
      </c>
      <c r="G973" s="3">
        <f t="shared" si="0"/>
        <v>124753.19750260666</v>
      </c>
      <c r="H973" t="s">
        <v>516</v>
      </c>
      <c r="I973" t="s">
        <v>2197</v>
      </c>
      <c r="J973" t="s">
        <v>2198</v>
      </c>
      <c r="K973" t="s">
        <v>2150</v>
      </c>
      <c r="L973" s="1" t="s">
        <v>2196</v>
      </c>
      <c r="M973" t="s">
        <v>2109</v>
      </c>
      <c r="N973" s="1" t="s">
        <v>2697</v>
      </c>
    </row>
    <row r="974" spans="1:14" x14ac:dyDescent="0.25">
      <c r="A974" t="s">
        <v>1639</v>
      </c>
      <c r="B974" t="s">
        <v>2105</v>
      </c>
      <c r="C974" t="s">
        <v>3362</v>
      </c>
      <c r="D974" s="2">
        <v>4.2667661109612398E-2</v>
      </c>
      <c r="E974" s="3">
        <v>121846.551064864</v>
      </c>
      <c r="F974" s="3">
        <f t="shared" si="1"/>
        <v>20307.758510810669</v>
      </c>
      <c r="G974" s="3">
        <f t="shared" si="0"/>
        <v>10153.879255405334</v>
      </c>
      <c r="H974" t="s">
        <v>149</v>
      </c>
      <c r="I974" t="s">
        <v>1000</v>
      </c>
      <c r="J974" t="s">
        <v>2201</v>
      </c>
      <c r="K974" t="s">
        <v>2128</v>
      </c>
      <c r="L974" t="s">
        <v>2200</v>
      </c>
      <c r="M974" t="s">
        <v>2109</v>
      </c>
      <c r="N974" s="1" t="s">
        <v>2697</v>
      </c>
    </row>
    <row r="975" spans="1:14" x14ac:dyDescent="0.25">
      <c r="A975" t="s">
        <v>1640</v>
      </c>
      <c r="B975" t="s">
        <v>2105</v>
      </c>
      <c r="C975" t="s">
        <v>3362</v>
      </c>
      <c r="D975" s="2">
        <v>2.70577464431998E-2</v>
      </c>
      <c r="E975" s="3">
        <v>775721.86204728601</v>
      </c>
      <c r="F975" s="3">
        <f t="shared" si="1"/>
        <v>129286.977007881</v>
      </c>
      <c r="G975" s="3">
        <f t="shared" si="0"/>
        <v>64643.488503940498</v>
      </c>
      <c r="H975" t="s">
        <v>27</v>
      </c>
      <c r="I975" t="s">
        <v>2205</v>
      </c>
      <c r="J975" t="s">
        <v>2206</v>
      </c>
      <c r="K975" t="s">
        <v>2140</v>
      </c>
      <c r="L975" s="1" t="s">
        <v>2204</v>
      </c>
      <c r="M975" t="s">
        <v>2109</v>
      </c>
      <c r="N975" s="1" t="s">
        <v>2697</v>
      </c>
    </row>
    <row r="976" spans="1:14" x14ac:dyDescent="0.25">
      <c r="A976" t="s">
        <v>1641</v>
      </c>
      <c r="B976" t="s">
        <v>2105</v>
      </c>
      <c r="C976" t="s">
        <v>3362</v>
      </c>
      <c r="D976" s="2">
        <v>3.5169682327048903E-2</v>
      </c>
      <c r="E976" s="3">
        <v>1969019.7443098801</v>
      </c>
      <c r="F976" s="3">
        <f t="shared" si="1"/>
        <v>328169.95738497999</v>
      </c>
      <c r="G976" s="3">
        <f t="shared" si="0"/>
        <v>164084.97869249</v>
      </c>
      <c r="H976" t="s">
        <v>732</v>
      </c>
      <c r="I976" t="s">
        <v>2359</v>
      </c>
      <c r="J976" t="s">
        <v>1404</v>
      </c>
      <c r="K976" t="s">
        <v>2150</v>
      </c>
      <c r="L976" s="1" t="s">
        <v>2357</v>
      </c>
      <c r="M976" t="s">
        <v>2358</v>
      </c>
      <c r="N976" s="1" t="s">
        <v>2697</v>
      </c>
    </row>
    <row r="977" spans="1:14" x14ac:dyDescent="0.25">
      <c r="A977" t="s">
        <v>1642</v>
      </c>
      <c r="B977" t="s">
        <v>2105</v>
      </c>
      <c r="C977" t="s">
        <v>3362</v>
      </c>
      <c r="D977" s="2">
        <v>4.0803176481526898E-2</v>
      </c>
      <c r="E977" s="3">
        <v>1392517.6064371001</v>
      </c>
      <c r="F977" s="3">
        <f t="shared" si="1"/>
        <v>232086.26773951668</v>
      </c>
      <c r="G977" s="3">
        <f t="shared" si="0"/>
        <v>116043.13386975834</v>
      </c>
      <c r="H977" t="s">
        <v>2363</v>
      </c>
      <c r="I977" t="s">
        <v>2364</v>
      </c>
      <c r="J977" t="s">
        <v>2365</v>
      </c>
      <c r="K977" t="s">
        <v>2128</v>
      </c>
      <c r="L977" s="1" t="s">
        <v>2362</v>
      </c>
      <c r="M977" t="s">
        <v>2358</v>
      </c>
      <c r="N977" s="1" t="s">
        <v>2697</v>
      </c>
    </row>
    <row r="978" spans="1:14" x14ac:dyDescent="0.25">
      <c r="A978" t="s">
        <v>2100</v>
      </c>
      <c r="B978" t="s">
        <v>2105</v>
      </c>
      <c r="C978" t="s">
        <v>3362</v>
      </c>
      <c r="D978" s="2">
        <v>3.2246019755206003E-2</v>
      </c>
      <c r="E978" s="3">
        <v>2477601.5652549998</v>
      </c>
      <c r="F978" s="3">
        <f t="shared" si="1"/>
        <v>412933.59420916665</v>
      </c>
      <c r="G978" s="3">
        <f t="shared" si="0"/>
        <v>206466.79710458333</v>
      </c>
      <c r="H978" t="s">
        <v>227</v>
      </c>
      <c r="I978" t="s">
        <v>1105</v>
      </c>
      <c r="J978" t="s">
        <v>2368</v>
      </c>
      <c r="K978" t="s">
        <v>2150</v>
      </c>
      <c r="L978" s="1" t="s">
        <v>2357</v>
      </c>
      <c r="M978" t="s">
        <v>2358</v>
      </c>
      <c r="N978" s="1" t="s">
        <v>2697</v>
      </c>
    </row>
    <row r="979" spans="1:14" x14ac:dyDescent="0.25">
      <c r="A979" t="s">
        <v>2101</v>
      </c>
      <c r="B979" t="s">
        <v>2105</v>
      </c>
      <c r="C979" t="s">
        <v>3362</v>
      </c>
      <c r="D979" s="2">
        <v>2.8008149367297199E-2</v>
      </c>
      <c r="E979" s="3">
        <v>4776997.2176342197</v>
      </c>
      <c r="F979" s="3">
        <f t="shared" si="1"/>
        <v>796166.20293903665</v>
      </c>
      <c r="G979" s="3">
        <f t="shared" si="0"/>
        <v>398083.10146951833</v>
      </c>
      <c r="H979" t="s">
        <v>1324</v>
      </c>
      <c r="I979" t="s">
        <v>2372</v>
      </c>
      <c r="J979" t="s">
        <v>2373</v>
      </c>
      <c r="K979" t="s">
        <v>2150</v>
      </c>
      <c r="L979" s="1" t="s">
        <v>2371</v>
      </c>
      <c r="M979" t="s">
        <v>2358</v>
      </c>
      <c r="N979" s="1" t="s">
        <v>2697</v>
      </c>
    </row>
    <row r="980" spans="1:14" x14ac:dyDescent="0.25">
      <c r="A980" t="s">
        <v>1645</v>
      </c>
      <c r="B980" t="s">
        <v>2105</v>
      </c>
      <c r="C980" t="s">
        <v>3362</v>
      </c>
      <c r="D980" s="2">
        <v>2.8157935855529701E-2</v>
      </c>
      <c r="E980" s="3">
        <v>9238740.8678310998</v>
      </c>
      <c r="F980" s="3">
        <f t="shared" si="1"/>
        <v>1539790.1446385167</v>
      </c>
      <c r="G980" s="3">
        <f t="shared" si="0"/>
        <v>769895.07231925835</v>
      </c>
      <c r="H980" t="s">
        <v>232</v>
      </c>
      <c r="I980" t="s">
        <v>2377</v>
      </c>
      <c r="J980" t="s">
        <v>2378</v>
      </c>
      <c r="K980" t="s">
        <v>2128</v>
      </c>
      <c r="L980" s="1" t="s">
        <v>2376</v>
      </c>
      <c r="M980" t="s">
        <v>2358</v>
      </c>
      <c r="N980" s="1" t="s">
        <v>2697</v>
      </c>
    </row>
    <row r="981" spans="1:14" x14ac:dyDescent="0.25">
      <c r="A981" t="s">
        <v>1647</v>
      </c>
      <c r="B981" t="s">
        <v>2105</v>
      </c>
      <c r="C981" t="s">
        <v>3362</v>
      </c>
      <c r="D981" s="2">
        <v>3.8993578319423003E-2</v>
      </c>
      <c r="E981" s="3">
        <v>1454556.6160526101</v>
      </c>
      <c r="F981" s="3">
        <f t="shared" si="1"/>
        <v>242426.10267543502</v>
      </c>
      <c r="G981" s="3">
        <f t="shared" ref="G981:G1012" si="2">F981/2</f>
        <v>121213.05133771751</v>
      </c>
      <c r="H981" t="s">
        <v>799</v>
      </c>
      <c r="I981" t="s">
        <v>2381</v>
      </c>
      <c r="J981" t="s">
        <v>990</v>
      </c>
      <c r="K981" t="s">
        <v>2111</v>
      </c>
      <c r="L981" s="1" t="s">
        <v>2380</v>
      </c>
      <c r="M981" t="s">
        <v>2358</v>
      </c>
      <c r="N981" s="1" t="s">
        <v>2697</v>
      </c>
    </row>
    <row r="982" spans="1:14" x14ac:dyDescent="0.25">
      <c r="A982" t="s">
        <v>1648</v>
      </c>
      <c r="B982" t="s">
        <v>2105</v>
      </c>
      <c r="C982" t="s">
        <v>3362</v>
      </c>
      <c r="D982" s="2">
        <v>7.7923278200461799E-2</v>
      </c>
      <c r="E982" s="3">
        <v>311235.101096661</v>
      </c>
      <c r="F982" s="3">
        <f t="shared" si="1"/>
        <v>51872.516849443498</v>
      </c>
      <c r="G982" s="3">
        <f t="shared" si="2"/>
        <v>25936.258424721749</v>
      </c>
      <c r="H982" t="s">
        <v>634</v>
      </c>
      <c r="I982" t="s">
        <v>2385</v>
      </c>
      <c r="J982" t="s">
        <v>2386</v>
      </c>
      <c r="K982" t="s">
        <v>2146</v>
      </c>
      <c r="L982" s="1" t="s">
        <v>2384</v>
      </c>
      <c r="M982" t="s">
        <v>2358</v>
      </c>
      <c r="N982" s="1" t="s">
        <v>2697</v>
      </c>
    </row>
    <row r="983" spans="1:14" x14ac:dyDescent="0.25">
      <c r="A983" t="s">
        <v>2086</v>
      </c>
      <c r="B983" t="s">
        <v>2105</v>
      </c>
      <c r="C983" t="s">
        <v>3362</v>
      </c>
      <c r="D983" s="2">
        <v>2.88768100411863E-2</v>
      </c>
      <c r="E983" s="3">
        <v>369399.10394449899</v>
      </c>
      <c r="F983" s="3">
        <f t="shared" si="1"/>
        <v>61566.517324083165</v>
      </c>
      <c r="G983" s="3">
        <f t="shared" si="2"/>
        <v>30783.258662041582</v>
      </c>
      <c r="H983" t="s">
        <v>114</v>
      </c>
      <c r="I983" t="s">
        <v>2210</v>
      </c>
      <c r="J983" t="s">
        <v>2211</v>
      </c>
      <c r="K983" t="s">
        <v>2117</v>
      </c>
      <c r="L983" s="1" t="s">
        <v>2209</v>
      </c>
      <c r="M983" t="s">
        <v>2109</v>
      </c>
      <c r="N983" s="1" t="s">
        <v>2697</v>
      </c>
    </row>
    <row r="984" spans="1:14" x14ac:dyDescent="0.25">
      <c r="A984" t="s">
        <v>1751</v>
      </c>
      <c r="B984" t="s">
        <v>2105</v>
      </c>
      <c r="C984" t="s">
        <v>3362</v>
      </c>
      <c r="D984" s="2">
        <v>4.45714958848775E-2</v>
      </c>
      <c r="E984" s="3">
        <v>1723954.0959880999</v>
      </c>
      <c r="F984" s="3">
        <f t="shared" si="1"/>
        <v>287325.68266468332</v>
      </c>
      <c r="G984" s="3">
        <f t="shared" si="2"/>
        <v>143662.84133234166</v>
      </c>
      <c r="H984" t="s">
        <v>150</v>
      </c>
      <c r="I984" t="s">
        <v>2216</v>
      </c>
      <c r="J984" t="s">
        <v>522</v>
      </c>
      <c r="K984" t="s">
        <v>2121</v>
      </c>
      <c r="L984" s="1" t="s">
        <v>2215</v>
      </c>
      <c r="M984" t="s">
        <v>2109</v>
      </c>
      <c r="N984" s="1" t="s">
        <v>2697</v>
      </c>
    </row>
    <row r="985" spans="1:14" x14ac:dyDescent="0.25">
      <c r="A985" t="s">
        <v>2087</v>
      </c>
      <c r="B985" t="s">
        <v>2105</v>
      </c>
      <c r="C985" t="s">
        <v>3362</v>
      </c>
      <c r="D985" s="2">
        <v>3.8618761526004602E-2</v>
      </c>
      <c r="E985" s="3">
        <v>149187.989933515</v>
      </c>
      <c r="F985" s="3">
        <f t="shared" si="1"/>
        <v>24864.664988919165</v>
      </c>
      <c r="G985" s="3">
        <f t="shared" si="2"/>
        <v>12432.332494459582</v>
      </c>
      <c r="H985" t="s">
        <v>1145</v>
      </c>
      <c r="I985" t="s">
        <v>2220</v>
      </c>
      <c r="J985" t="s">
        <v>2221</v>
      </c>
      <c r="K985" t="s">
        <v>2150</v>
      </c>
      <c r="L985" s="1" t="s">
        <v>2219</v>
      </c>
      <c r="M985" t="s">
        <v>2109</v>
      </c>
      <c r="N985" s="1" t="s">
        <v>2697</v>
      </c>
    </row>
    <row r="986" spans="1:14" x14ac:dyDescent="0.25">
      <c r="A986" t="s">
        <v>1753</v>
      </c>
      <c r="B986" t="s">
        <v>2105</v>
      </c>
      <c r="C986" t="s">
        <v>3362</v>
      </c>
      <c r="D986" s="2">
        <v>3.2714047237384802E-2</v>
      </c>
      <c r="E986" s="3">
        <v>231169.14174480201</v>
      </c>
      <c r="F986" s="3">
        <f t="shared" si="1"/>
        <v>38528.190290800332</v>
      </c>
      <c r="G986" s="3">
        <f t="shared" si="2"/>
        <v>19264.095145400166</v>
      </c>
      <c r="H986" t="s">
        <v>169</v>
      </c>
      <c r="I986" t="s">
        <v>2223</v>
      </c>
      <c r="J986" t="s">
        <v>2224</v>
      </c>
      <c r="K986" t="s">
        <v>2131</v>
      </c>
      <c r="L986" s="1" t="s">
        <v>2222</v>
      </c>
      <c r="M986" t="s">
        <v>2109</v>
      </c>
      <c r="N986" s="1" t="s">
        <v>2697</v>
      </c>
    </row>
    <row r="987" spans="1:14" x14ac:dyDescent="0.25">
      <c r="A987" t="s">
        <v>2088</v>
      </c>
      <c r="B987" t="s">
        <v>2105</v>
      </c>
      <c r="C987" t="s">
        <v>3362</v>
      </c>
      <c r="D987" s="2">
        <v>3.7839868564469602E-2</v>
      </c>
      <c r="E987" s="3">
        <v>1541949.3406539101</v>
      </c>
      <c r="F987" s="3">
        <f t="shared" ref="F987:F1018" si="3">E987/6</f>
        <v>256991.55677565167</v>
      </c>
      <c r="G987" s="3">
        <f t="shared" si="2"/>
        <v>128495.77838782583</v>
      </c>
      <c r="H987" t="s">
        <v>516</v>
      </c>
      <c r="I987" t="s">
        <v>2228</v>
      </c>
      <c r="J987" t="s">
        <v>2229</v>
      </c>
      <c r="K987" t="s">
        <v>2137</v>
      </c>
      <c r="L987" s="1" t="s">
        <v>2227</v>
      </c>
      <c r="M987" t="s">
        <v>2109</v>
      </c>
      <c r="N987" s="1" t="s">
        <v>2697</v>
      </c>
    </row>
    <row r="988" spans="1:14" x14ac:dyDescent="0.25">
      <c r="A988" t="s">
        <v>1755</v>
      </c>
      <c r="B988" t="s">
        <v>2105</v>
      </c>
      <c r="C988" t="s">
        <v>3362</v>
      </c>
      <c r="D988" s="2">
        <v>3.6640259214851E-2</v>
      </c>
      <c r="E988" s="3">
        <v>177464.16634546401</v>
      </c>
      <c r="F988" s="3">
        <f t="shared" si="3"/>
        <v>29577.361057577335</v>
      </c>
      <c r="G988" s="3">
        <f t="shared" si="2"/>
        <v>14788.680528788667</v>
      </c>
      <c r="H988" t="s">
        <v>914</v>
      </c>
      <c r="I988" t="s">
        <v>2232</v>
      </c>
      <c r="J988" t="s">
        <v>2233</v>
      </c>
      <c r="K988" t="s">
        <v>2150</v>
      </c>
      <c r="L988" s="1" t="s">
        <v>2212</v>
      </c>
      <c r="M988" t="s">
        <v>2109</v>
      </c>
      <c r="N988" s="1" t="s">
        <v>2697</v>
      </c>
    </row>
    <row r="989" spans="1:14" x14ac:dyDescent="0.25">
      <c r="A989" t="s">
        <v>1757</v>
      </c>
      <c r="B989" t="s">
        <v>2105</v>
      </c>
      <c r="C989" t="s">
        <v>3362</v>
      </c>
      <c r="D989" s="2">
        <v>5.5530587835493403E-2</v>
      </c>
      <c r="E989" s="3">
        <v>2136579.92220939</v>
      </c>
      <c r="F989" s="3">
        <f t="shared" si="3"/>
        <v>356096.653701565</v>
      </c>
      <c r="G989" s="3">
        <f t="shared" si="2"/>
        <v>178048.3268507825</v>
      </c>
      <c r="H989" t="s">
        <v>98</v>
      </c>
      <c r="I989" t="s">
        <v>685</v>
      </c>
      <c r="J989" t="s">
        <v>2237</v>
      </c>
      <c r="K989" t="s">
        <v>2046</v>
      </c>
      <c r="L989" s="1" t="s">
        <v>2236</v>
      </c>
      <c r="M989" t="s">
        <v>2109</v>
      </c>
      <c r="N989" s="1" t="s">
        <v>2697</v>
      </c>
    </row>
    <row r="990" spans="1:14" x14ac:dyDescent="0.25">
      <c r="A990" t="s">
        <v>1758</v>
      </c>
      <c r="B990" t="s">
        <v>2105</v>
      </c>
      <c r="C990" t="s">
        <v>3362</v>
      </c>
      <c r="D990" s="2">
        <v>2.6789866932374999E-2</v>
      </c>
      <c r="E990" s="3">
        <v>662134.38886315003</v>
      </c>
      <c r="F990" s="3">
        <f t="shared" si="3"/>
        <v>110355.73147719167</v>
      </c>
      <c r="G990" s="3">
        <f t="shared" si="2"/>
        <v>55177.865738595836</v>
      </c>
      <c r="H990" t="s">
        <v>162</v>
      </c>
      <c r="I990" t="s">
        <v>1476</v>
      </c>
      <c r="J990" t="s">
        <v>924</v>
      </c>
      <c r="K990" t="s">
        <v>2121</v>
      </c>
      <c r="L990" s="1" t="s">
        <v>2239</v>
      </c>
      <c r="M990" t="s">
        <v>2109</v>
      </c>
      <c r="N990" s="1" t="s">
        <v>2697</v>
      </c>
    </row>
    <row r="991" spans="1:14" x14ac:dyDescent="0.25">
      <c r="A991" t="s">
        <v>1759</v>
      </c>
      <c r="B991" t="s">
        <v>2105</v>
      </c>
      <c r="C991" t="s">
        <v>3362</v>
      </c>
      <c r="D991" s="2">
        <v>0.18356931101589799</v>
      </c>
      <c r="E991" s="3">
        <v>5622.7747733930801</v>
      </c>
      <c r="F991" s="3">
        <f t="shared" si="3"/>
        <v>937.12912889884672</v>
      </c>
      <c r="G991" s="3">
        <f t="shared" si="2"/>
        <v>468.56456444942336</v>
      </c>
      <c r="H991" t="s">
        <v>67</v>
      </c>
      <c r="I991" t="s">
        <v>2243</v>
      </c>
      <c r="J991" t="s">
        <v>156</v>
      </c>
      <c r="K991" t="s">
        <v>2117</v>
      </c>
      <c r="L991" s="1" t="s">
        <v>2242</v>
      </c>
      <c r="M991" t="s">
        <v>2109</v>
      </c>
      <c r="N991" s="1" t="s">
        <v>2697</v>
      </c>
    </row>
    <row r="992" spans="1:14" x14ac:dyDescent="0.25">
      <c r="A992" t="s">
        <v>2089</v>
      </c>
      <c r="B992" t="s">
        <v>2105</v>
      </c>
      <c r="C992" t="s">
        <v>3362</v>
      </c>
      <c r="D992" s="2">
        <v>2.86991449879101E-2</v>
      </c>
      <c r="E992" s="3">
        <v>956399.22038026003</v>
      </c>
      <c r="F992" s="3">
        <f t="shared" si="3"/>
        <v>159399.87006337667</v>
      </c>
      <c r="G992" s="3">
        <f t="shared" si="2"/>
        <v>79699.935031688336</v>
      </c>
      <c r="H992" t="s">
        <v>198</v>
      </c>
      <c r="I992" t="s">
        <v>2245</v>
      </c>
      <c r="J992" t="s">
        <v>519</v>
      </c>
      <c r="K992" t="s">
        <v>2128</v>
      </c>
      <c r="L992" s="1" t="s">
        <v>2244</v>
      </c>
      <c r="M992" t="s">
        <v>2109</v>
      </c>
      <c r="N992" s="1" t="s">
        <v>2697</v>
      </c>
    </row>
    <row r="993" spans="1:14" x14ac:dyDescent="0.25">
      <c r="A993" t="s">
        <v>2090</v>
      </c>
      <c r="B993" t="s">
        <v>2105</v>
      </c>
      <c r="C993" t="s">
        <v>3362</v>
      </c>
      <c r="D993" s="2">
        <v>2.94904063457966E-2</v>
      </c>
      <c r="E993" s="3">
        <v>322020.57813860499</v>
      </c>
      <c r="F993" s="3">
        <f t="shared" si="3"/>
        <v>53670.096356434166</v>
      </c>
      <c r="G993" s="3">
        <f t="shared" si="2"/>
        <v>26835.048178217083</v>
      </c>
      <c r="H993" t="s">
        <v>103</v>
      </c>
      <c r="I993" t="s">
        <v>2249</v>
      </c>
      <c r="J993" t="s">
        <v>2250</v>
      </c>
      <c r="K993" t="s">
        <v>2121</v>
      </c>
      <c r="L993" s="1" t="s">
        <v>2248</v>
      </c>
      <c r="M993" t="s">
        <v>2109</v>
      </c>
      <c r="N993" s="1" t="s">
        <v>2697</v>
      </c>
    </row>
    <row r="994" spans="1:14" x14ac:dyDescent="0.25">
      <c r="A994" t="s">
        <v>1763</v>
      </c>
      <c r="B994" t="s">
        <v>2105</v>
      </c>
      <c r="C994" t="s">
        <v>3362</v>
      </c>
      <c r="D994" s="2">
        <v>2.6810853856459201E-2</v>
      </c>
      <c r="E994" s="3">
        <v>625912.59964977996</v>
      </c>
      <c r="F994" s="3">
        <f t="shared" si="3"/>
        <v>104318.76660829666</v>
      </c>
      <c r="G994" s="3">
        <f t="shared" si="2"/>
        <v>52159.38330414833</v>
      </c>
      <c r="H994" t="s">
        <v>232</v>
      </c>
      <c r="I994" t="s">
        <v>2256</v>
      </c>
      <c r="J994" t="s">
        <v>2257</v>
      </c>
      <c r="K994" t="s">
        <v>2140</v>
      </c>
      <c r="L994" s="1" t="s">
        <v>2255</v>
      </c>
      <c r="M994" t="s">
        <v>2109</v>
      </c>
      <c r="N994" s="1" t="s">
        <v>2697</v>
      </c>
    </row>
    <row r="995" spans="1:14" x14ac:dyDescent="0.25">
      <c r="A995" t="s">
        <v>1765</v>
      </c>
      <c r="B995" t="s">
        <v>2105</v>
      </c>
      <c r="C995" t="s">
        <v>3362</v>
      </c>
      <c r="D995" s="2">
        <v>3.0955100104178498E-2</v>
      </c>
      <c r="E995" s="3">
        <v>29752.718834143299</v>
      </c>
      <c r="F995" s="3">
        <f t="shared" si="3"/>
        <v>4958.7864723572166</v>
      </c>
      <c r="G995" s="3">
        <f t="shared" si="2"/>
        <v>2479.3932361786083</v>
      </c>
      <c r="H995" t="s">
        <v>98</v>
      </c>
      <c r="I995" t="s">
        <v>2261</v>
      </c>
      <c r="J995" t="s">
        <v>2262</v>
      </c>
      <c r="K995" t="s">
        <v>2114</v>
      </c>
      <c r="L995" s="1" t="s">
        <v>2260</v>
      </c>
      <c r="M995" t="s">
        <v>20</v>
      </c>
      <c r="N995" s="1" t="s">
        <v>2697</v>
      </c>
    </row>
    <row r="996" spans="1:14" x14ac:dyDescent="0.25">
      <c r="A996" t="s">
        <v>1767</v>
      </c>
      <c r="B996" t="s">
        <v>2105</v>
      </c>
      <c r="C996" t="s">
        <v>3362</v>
      </c>
      <c r="D996" s="2">
        <v>2.8069738478224401E-2</v>
      </c>
      <c r="E996" s="3">
        <v>887835.88604204298</v>
      </c>
      <c r="F996" s="3">
        <f t="shared" si="3"/>
        <v>147972.64767367384</v>
      </c>
      <c r="G996" s="3">
        <f t="shared" si="2"/>
        <v>73986.32383683692</v>
      </c>
      <c r="H996" t="s">
        <v>2267</v>
      </c>
      <c r="I996" t="s">
        <v>431</v>
      </c>
      <c r="J996" t="s">
        <v>2268</v>
      </c>
      <c r="K996" t="s">
        <v>2137</v>
      </c>
      <c r="L996" s="1" t="s">
        <v>2266</v>
      </c>
      <c r="M996" t="s">
        <v>2109</v>
      </c>
      <c r="N996" s="1" t="s">
        <v>2697</v>
      </c>
    </row>
    <row r="997" spans="1:14" x14ac:dyDescent="0.25">
      <c r="A997" t="s">
        <v>2091</v>
      </c>
      <c r="B997" t="s">
        <v>2105</v>
      </c>
      <c r="C997" t="s">
        <v>3362</v>
      </c>
      <c r="D997" s="2">
        <v>2.6795509810946999E-2</v>
      </c>
      <c r="E997" s="3">
        <v>633574.56915314402</v>
      </c>
      <c r="F997" s="3">
        <f t="shared" si="3"/>
        <v>105595.76152552401</v>
      </c>
      <c r="G997" s="3">
        <f t="shared" si="2"/>
        <v>52797.880762762004</v>
      </c>
      <c r="H997" t="s">
        <v>207</v>
      </c>
      <c r="I997" t="s">
        <v>2271</v>
      </c>
      <c r="J997" t="s">
        <v>2272</v>
      </c>
      <c r="K997" t="s">
        <v>2150</v>
      </c>
      <c r="L997" s="1" t="s">
        <v>2252</v>
      </c>
      <c r="M997" t="s">
        <v>2109</v>
      </c>
      <c r="N997" s="1" t="s">
        <v>2697</v>
      </c>
    </row>
    <row r="998" spans="1:14" x14ac:dyDescent="0.25">
      <c r="A998" t="s">
        <v>1769</v>
      </c>
      <c r="B998" t="s">
        <v>2105</v>
      </c>
      <c r="C998" t="s">
        <v>3362</v>
      </c>
      <c r="D998" s="2">
        <v>4.4933675184093802E-2</v>
      </c>
      <c r="E998" s="3">
        <v>103856.59260192999</v>
      </c>
      <c r="F998" s="3">
        <f t="shared" si="3"/>
        <v>17309.432100321665</v>
      </c>
      <c r="G998" s="3">
        <f t="shared" si="2"/>
        <v>8654.7160501608323</v>
      </c>
      <c r="H998" t="s">
        <v>392</v>
      </c>
      <c r="I998" t="s">
        <v>2276</v>
      </c>
      <c r="J998" t="s">
        <v>2277</v>
      </c>
      <c r="K998" t="s">
        <v>2044</v>
      </c>
      <c r="L998" s="1" t="s">
        <v>2275</v>
      </c>
      <c r="M998" t="s">
        <v>2109</v>
      </c>
      <c r="N998" s="1" t="s">
        <v>2697</v>
      </c>
    </row>
    <row r="999" spans="1:14" x14ac:dyDescent="0.25">
      <c r="A999" t="s">
        <v>2092</v>
      </c>
      <c r="B999" t="s">
        <v>2105</v>
      </c>
      <c r="C999" t="s">
        <v>3362</v>
      </c>
      <c r="D999" s="2">
        <v>2.7075796051569099E-2</v>
      </c>
      <c r="E999" s="3">
        <v>511661.71491170302</v>
      </c>
      <c r="F999" s="3">
        <f t="shared" si="3"/>
        <v>85276.952485283837</v>
      </c>
      <c r="G999" s="3">
        <f t="shared" si="2"/>
        <v>42638.476242641918</v>
      </c>
      <c r="H999" t="s">
        <v>27</v>
      </c>
      <c r="I999" t="s">
        <v>2279</v>
      </c>
      <c r="J999" t="s">
        <v>2280</v>
      </c>
      <c r="K999" t="s">
        <v>2121</v>
      </c>
      <c r="L999" s="1" t="s">
        <v>2278</v>
      </c>
      <c r="M999" t="s">
        <v>2109</v>
      </c>
      <c r="N999" s="1" t="s">
        <v>2697</v>
      </c>
    </row>
    <row r="1000" spans="1:14" x14ac:dyDescent="0.25">
      <c r="A1000" t="s">
        <v>1771</v>
      </c>
      <c r="B1000" t="s">
        <v>2105</v>
      </c>
      <c r="C1000" t="s">
        <v>3362</v>
      </c>
      <c r="D1000" s="2">
        <v>2.9672459524643299E-2</v>
      </c>
      <c r="E1000" s="3">
        <v>1058119.5507704699</v>
      </c>
      <c r="F1000" s="3">
        <f t="shared" si="3"/>
        <v>176353.25846174499</v>
      </c>
      <c r="G1000" s="3">
        <f t="shared" si="2"/>
        <v>88176.629230872495</v>
      </c>
      <c r="H1000" t="s">
        <v>2281</v>
      </c>
      <c r="I1000" t="s">
        <v>1574</v>
      </c>
      <c r="J1000" t="s">
        <v>2285</v>
      </c>
      <c r="K1000" t="s">
        <v>2131</v>
      </c>
      <c r="L1000" s="1" t="s">
        <v>2284</v>
      </c>
      <c r="M1000" t="s">
        <v>2109</v>
      </c>
      <c r="N1000" s="1" t="s">
        <v>2697</v>
      </c>
    </row>
    <row r="1001" spans="1:14" x14ac:dyDescent="0.25">
      <c r="A1001" t="s">
        <v>2093</v>
      </c>
      <c r="B1001" t="s">
        <v>2105</v>
      </c>
      <c r="C1001" t="s">
        <v>3362</v>
      </c>
      <c r="D1001" s="2">
        <v>3.4233006928532698E-2</v>
      </c>
      <c r="E1001" s="3">
        <v>1426496.45800166</v>
      </c>
      <c r="F1001" s="3">
        <f t="shared" si="3"/>
        <v>237749.40966694333</v>
      </c>
      <c r="G1001" s="3">
        <f t="shared" si="2"/>
        <v>118874.70483347167</v>
      </c>
      <c r="H1001" t="s">
        <v>98</v>
      </c>
      <c r="I1001" t="s">
        <v>2288</v>
      </c>
      <c r="J1001" t="s">
        <v>2289</v>
      </c>
      <c r="K1001" t="s">
        <v>2128</v>
      </c>
      <c r="L1001" s="1" t="s">
        <v>2287</v>
      </c>
      <c r="M1001" t="s">
        <v>2109</v>
      </c>
      <c r="N1001" s="1" t="s">
        <v>2697</v>
      </c>
    </row>
    <row r="1002" spans="1:14" x14ac:dyDescent="0.25">
      <c r="A1002" t="s">
        <v>2094</v>
      </c>
      <c r="B1002" t="s">
        <v>2105</v>
      </c>
      <c r="C1002" t="s">
        <v>3362</v>
      </c>
      <c r="D1002" s="2">
        <v>4.6675969760024603E-2</v>
      </c>
      <c r="E1002" s="3">
        <v>101672.04989744999</v>
      </c>
      <c r="F1002" s="3">
        <f t="shared" si="3"/>
        <v>16945.341649574999</v>
      </c>
      <c r="G1002" s="3">
        <f t="shared" si="2"/>
        <v>8472.6708247874994</v>
      </c>
      <c r="H1002" t="s">
        <v>305</v>
      </c>
      <c r="I1002" t="s">
        <v>626</v>
      </c>
      <c r="J1002" t="s">
        <v>2294</v>
      </c>
      <c r="K1002" t="s">
        <v>2137</v>
      </c>
      <c r="L1002" s="1" t="s">
        <v>2293</v>
      </c>
      <c r="M1002" t="s">
        <v>2109</v>
      </c>
      <c r="N1002" s="1" t="s">
        <v>2697</v>
      </c>
    </row>
    <row r="1003" spans="1:14" x14ac:dyDescent="0.25">
      <c r="A1003" t="s">
        <v>1774</v>
      </c>
      <c r="B1003" t="s">
        <v>2105</v>
      </c>
      <c r="C1003" t="s">
        <v>3362</v>
      </c>
      <c r="D1003" s="2">
        <v>6.4907613659528601E-2</v>
      </c>
      <c r="E1003" s="3">
        <v>2308588.11834335</v>
      </c>
      <c r="F1003" s="3">
        <f t="shared" si="3"/>
        <v>384764.68639055832</v>
      </c>
      <c r="G1003" s="3">
        <f t="shared" si="2"/>
        <v>192382.34319527916</v>
      </c>
      <c r="H1003" t="s">
        <v>222</v>
      </c>
      <c r="I1003" t="s">
        <v>82</v>
      </c>
      <c r="J1003" t="s">
        <v>2297</v>
      </c>
      <c r="K1003" t="s">
        <v>2114</v>
      </c>
      <c r="L1003" s="1" t="s">
        <v>2296</v>
      </c>
      <c r="M1003" t="s">
        <v>2109</v>
      </c>
      <c r="N1003" s="1" t="s">
        <v>2697</v>
      </c>
    </row>
    <row r="1004" spans="1:14" x14ac:dyDescent="0.25">
      <c r="A1004" t="s">
        <v>1775</v>
      </c>
      <c r="B1004" t="s">
        <v>2105</v>
      </c>
      <c r="C1004" t="s">
        <v>3362</v>
      </c>
      <c r="D1004" s="2">
        <v>4.6276032217089397E-2</v>
      </c>
      <c r="E1004" s="3">
        <v>1828273.2379275099</v>
      </c>
      <c r="F1004" s="3">
        <f t="shared" si="3"/>
        <v>304712.20632125164</v>
      </c>
      <c r="G1004" s="3">
        <f t="shared" si="2"/>
        <v>152356.10316062582</v>
      </c>
      <c r="H1004" t="s">
        <v>878</v>
      </c>
      <c r="I1004" t="s">
        <v>2301</v>
      </c>
      <c r="J1004" t="s">
        <v>1336</v>
      </c>
      <c r="K1004" t="s">
        <v>2121</v>
      </c>
      <c r="L1004" s="1" t="s">
        <v>2300</v>
      </c>
      <c r="M1004" t="s">
        <v>2109</v>
      </c>
      <c r="N1004" s="1" t="s">
        <v>2697</v>
      </c>
    </row>
    <row r="1005" spans="1:14" x14ac:dyDescent="0.25">
      <c r="A1005" t="s">
        <v>1889</v>
      </c>
      <c r="B1005" t="s">
        <v>2105</v>
      </c>
      <c r="C1005" t="s">
        <v>3362</v>
      </c>
      <c r="D1005" s="2">
        <v>3.4251917447432299E-2</v>
      </c>
      <c r="E1005" s="3">
        <v>201065.87944641101</v>
      </c>
      <c r="F1005" s="3">
        <f t="shared" si="3"/>
        <v>33510.979907735171</v>
      </c>
      <c r="G1005" s="3">
        <f t="shared" si="2"/>
        <v>16755.489953867585</v>
      </c>
      <c r="H1005" t="s">
        <v>27</v>
      </c>
      <c r="I1005" t="s">
        <v>2305</v>
      </c>
      <c r="J1005" t="s">
        <v>2306</v>
      </c>
      <c r="K1005" t="s">
        <v>2114</v>
      </c>
      <c r="L1005" s="1" t="s">
        <v>2219</v>
      </c>
      <c r="M1005" t="s">
        <v>2109</v>
      </c>
      <c r="N1005" s="1" t="s">
        <v>2697</v>
      </c>
    </row>
    <row r="1006" spans="1:14" x14ac:dyDescent="0.25">
      <c r="A1006" t="s">
        <v>1899</v>
      </c>
      <c r="B1006" t="s">
        <v>2105</v>
      </c>
      <c r="C1006" t="s">
        <v>3362</v>
      </c>
      <c r="D1006" s="2">
        <v>4.1288802548687498E-2</v>
      </c>
      <c r="E1006" s="3">
        <v>1616743.9708620301</v>
      </c>
      <c r="F1006" s="3">
        <f t="shared" si="3"/>
        <v>269457.32847700501</v>
      </c>
      <c r="G1006" s="3">
        <f t="shared" si="2"/>
        <v>134728.6642385025</v>
      </c>
      <c r="H1006" t="s">
        <v>98</v>
      </c>
      <c r="I1006" t="s">
        <v>301</v>
      </c>
      <c r="J1006" t="s">
        <v>779</v>
      </c>
      <c r="K1006" t="s">
        <v>2131</v>
      </c>
      <c r="L1006" s="1" t="s">
        <v>2303</v>
      </c>
      <c r="M1006" t="s">
        <v>2109</v>
      </c>
      <c r="N1006" s="1" t="s">
        <v>2697</v>
      </c>
    </row>
    <row r="1007" spans="1:14" x14ac:dyDescent="0.25">
      <c r="A1007" t="s">
        <v>1912</v>
      </c>
      <c r="B1007" t="s">
        <v>2105</v>
      </c>
      <c r="C1007" t="s">
        <v>3362</v>
      </c>
      <c r="D1007" s="2">
        <v>2.8803875836306801E-2</v>
      </c>
      <c r="E1007" s="3">
        <v>1029630.0666117501</v>
      </c>
      <c r="F1007" s="3">
        <f t="shared" si="3"/>
        <v>171605.01110195834</v>
      </c>
      <c r="G1007" s="3">
        <f t="shared" si="2"/>
        <v>85802.505550979171</v>
      </c>
      <c r="H1007" t="s">
        <v>308</v>
      </c>
      <c r="I1007" t="s">
        <v>2309</v>
      </c>
      <c r="J1007" t="s">
        <v>871</v>
      </c>
      <c r="K1007" t="s">
        <v>2131</v>
      </c>
      <c r="L1007" s="1" t="s">
        <v>2308</v>
      </c>
      <c r="M1007" t="s">
        <v>2109</v>
      </c>
      <c r="N1007" s="1" t="s">
        <v>2697</v>
      </c>
    </row>
    <row r="1008" spans="1:14" x14ac:dyDescent="0.25">
      <c r="A1008" t="s">
        <v>1923</v>
      </c>
      <c r="B1008" t="s">
        <v>2105</v>
      </c>
      <c r="C1008" t="s">
        <v>3362</v>
      </c>
      <c r="D1008" s="2">
        <v>2.9152275057135899E-2</v>
      </c>
      <c r="E1008" s="3">
        <v>1054506.3469507501</v>
      </c>
      <c r="F1008" s="3">
        <f t="shared" si="3"/>
        <v>175751.05782512503</v>
      </c>
      <c r="G1008" s="3">
        <f t="shared" si="2"/>
        <v>87875.528912562513</v>
      </c>
      <c r="H1008" t="s">
        <v>232</v>
      </c>
      <c r="I1008" t="s">
        <v>2313</v>
      </c>
      <c r="J1008" t="s">
        <v>2314</v>
      </c>
      <c r="K1008" t="s">
        <v>2150</v>
      </c>
      <c r="L1008" s="1" t="s">
        <v>2312</v>
      </c>
      <c r="M1008" t="s">
        <v>2109</v>
      </c>
      <c r="N1008" s="1" t="s">
        <v>2697</v>
      </c>
    </row>
    <row r="1009" spans="1:14" x14ac:dyDescent="0.25">
      <c r="A1009" t="s">
        <v>2095</v>
      </c>
      <c r="B1009" t="s">
        <v>2105</v>
      </c>
      <c r="C1009" t="s">
        <v>3362</v>
      </c>
      <c r="D1009" s="2">
        <v>2.9021010123013599E-2</v>
      </c>
      <c r="E1009" s="3">
        <v>1056940.98175112</v>
      </c>
      <c r="F1009" s="3">
        <f t="shared" si="3"/>
        <v>176156.83029185332</v>
      </c>
      <c r="G1009" s="3">
        <f t="shared" si="2"/>
        <v>88078.415145926658</v>
      </c>
      <c r="H1009" t="s">
        <v>198</v>
      </c>
      <c r="I1009" t="s">
        <v>2317</v>
      </c>
      <c r="J1009" t="s">
        <v>2318</v>
      </c>
      <c r="K1009" t="s">
        <v>2114</v>
      </c>
      <c r="L1009" s="1" t="s">
        <v>2316</v>
      </c>
      <c r="M1009" t="s">
        <v>2109</v>
      </c>
      <c r="N1009" s="1" t="s">
        <v>2697</v>
      </c>
    </row>
    <row r="1010" spans="1:14" x14ac:dyDescent="0.25">
      <c r="A1010" t="s">
        <v>1931</v>
      </c>
      <c r="B1010" t="s">
        <v>2105</v>
      </c>
      <c r="C1010" t="s">
        <v>3362</v>
      </c>
      <c r="D1010" s="2">
        <v>2.7209354197569799E-2</v>
      </c>
      <c r="E1010" s="3">
        <v>509881.69190010399</v>
      </c>
      <c r="F1010" s="3">
        <f t="shared" si="3"/>
        <v>84980.281983350666</v>
      </c>
      <c r="G1010" s="3">
        <f t="shared" si="2"/>
        <v>42490.140991675333</v>
      </c>
      <c r="H1010" t="s">
        <v>130</v>
      </c>
      <c r="I1010" t="s">
        <v>2323</v>
      </c>
      <c r="J1010" t="s">
        <v>1004</v>
      </c>
      <c r="K1010" t="s">
        <v>2150</v>
      </c>
      <c r="L1010" s="1" t="s">
        <v>2322</v>
      </c>
      <c r="M1010" t="s">
        <v>2109</v>
      </c>
      <c r="N1010" s="1" t="s">
        <v>2697</v>
      </c>
    </row>
    <row r="1011" spans="1:14" x14ac:dyDescent="0.25">
      <c r="A1011" t="s">
        <v>2096</v>
      </c>
      <c r="B1011" t="s">
        <v>2105</v>
      </c>
      <c r="C1011" t="s">
        <v>3362</v>
      </c>
      <c r="D1011" s="2">
        <v>2.80251788827173E-2</v>
      </c>
      <c r="E1011" s="3">
        <v>887960.09948324505</v>
      </c>
      <c r="F1011" s="3">
        <f t="shared" si="3"/>
        <v>147993.34991387418</v>
      </c>
      <c r="G1011" s="3">
        <f t="shared" si="2"/>
        <v>73996.674956937088</v>
      </c>
      <c r="H1011" t="s">
        <v>308</v>
      </c>
      <c r="I1011" t="s">
        <v>1551</v>
      </c>
      <c r="J1011" t="s">
        <v>2326</v>
      </c>
      <c r="K1011" t="s">
        <v>2150</v>
      </c>
      <c r="L1011" s="1" t="s">
        <v>2222</v>
      </c>
      <c r="M1011" t="s">
        <v>2109</v>
      </c>
      <c r="N1011" s="1" t="s">
        <v>2697</v>
      </c>
    </row>
    <row r="1012" spans="1:14" x14ac:dyDescent="0.25">
      <c r="A1012" t="s">
        <v>2097</v>
      </c>
      <c r="B1012" t="s">
        <v>2105</v>
      </c>
      <c r="C1012" t="s">
        <v>3362</v>
      </c>
      <c r="D1012" s="2">
        <v>3.6783503385361599E-2</v>
      </c>
      <c r="E1012" s="3">
        <v>173674.06575162901</v>
      </c>
      <c r="F1012" s="3">
        <f t="shared" si="3"/>
        <v>28945.677625271503</v>
      </c>
      <c r="G1012" s="3">
        <f t="shared" si="2"/>
        <v>14472.838812635751</v>
      </c>
      <c r="H1012" t="s">
        <v>685</v>
      </c>
      <c r="I1012" t="s">
        <v>2328</v>
      </c>
      <c r="J1012" t="s">
        <v>2329</v>
      </c>
      <c r="K1012" t="s">
        <v>2121</v>
      </c>
      <c r="L1012" s="1" t="s">
        <v>2252</v>
      </c>
      <c r="M1012" t="s">
        <v>2109</v>
      </c>
      <c r="N1012" s="1" t="s">
        <v>2697</v>
      </c>
    </row>
    <row r="1013" spans="1:14" x14ac:dyDescent="0.25">
      <c r="A1013" t="s">
        <v>1935</v>
      </c>
      <c r="B1013" t="s">
        <v>2105</v>
      </c>
      <c r="C1013" t="s">
        <v>3362</v>
      </c>
      <c r="D1013" s="2">
        <v>5.3503159207981203E-2</v>
      </c>
      <c r="E1013" s="3">
        <v>206815.41612540599</v>
      </c>
      <c r="F1013" s="3">
        <f t="shared" si="3"/>
        <v>34469.236020901</v>
      </c>
      <c r="G1013" s="3">
        <f t="shared" ref="G1013:G1019" si="4">F1013/2</f>
        <v>17234.6180104505</v>
      </c>
      <c r="H1013" t="s">
        <v>150</v>
      </c>
      <c r="I1013" t="s">
        <v>670</v>
      </c>
      <c r="J1013" t="s">
        <v>1104</v>
      </c>
      <c r="K1013" t="s">
        <v>2150</v>
      </c>
      <c r="L1013" s="1" t="s">
        <v>2308</v>
      </c>
      <c r="M1013" t="s">
        <v>20</v>
      </c>
      <c r="N1013" s="1" t="s">
        <v>2697</v>
      </c>
    </row>
    <row r="1014" spans="1:14" x14ac:dyDescent="0.25">
      <c r="A1014" t="s">
        <v>1936</v>
      </c>
      <c r="B1014" t="s">
        <v>2105</v>
      </c>
      <c r="C1014" t="s">
        <v>3362</v>
      </c>
      <c r="D1014" s="2">
        <v>5.4463880549767502E-2</v>
      </c>
      <c r="E1014" s="3">
        <v>207817.242589006</v>
      </c>
      <c r="F1014" s="3">
        <f t="shared" si="3"/>
        <v>34636.207098167666</v>
      </c>
      <c r="G1014" s="3">
        <f t="shared" si="4"/>
        <v>17318.103549083833</v>
      </c>
      <c r="H1014" t="s">
        <v>98</v>
      </c>
      <c r="I1014" t="s">
        <v>381</v>
      </c>
      <c r="J1014" t="s">
        <v>174</v>
      </c>
      <c r="K1014" t="s">
        <v>2335</v>
      </c>
      <c r="L1014" s="1" t="s">
        <v>2334</v>
      </c>
      <c r="M1014" t="s">
        <v>20</v>
      </c>
      <c r="N1014" s="1" t="s">
        <v>2697</v>
      </c>
    </row>
    <row r="1015" spans="1:14" x14ac:dyDescent="0.25">
      <c r="A1015" t="s">
        <v>2098</v>
      </c>
      <c r="B1015" t="s">
        <v>2105</v>
      </c>
      <c r="C1015" t="s">
        <v>3362</v>
      </c>
      <c r="D1015" s="2">
        <v>3.0457925843044301E-2</v>
      </c>
      <c r="E1015" s="3">
        <v>304482.07003949798</v>
      </c>
      <c r="F1015" s="3">
        <f t="shared" si="3"/>
        <v>50747.011673249661</v>
      </c>
      <c r="G1015" s="3">
        <f t="shared" si="4"/>
        <v>25373.50583662483</v>
      </c>
      <c r="H1015" t="s">
        <v>38</v>
      </c>
      <c r="I1015" t="s">
        <v>2338</v>
      </c>
      <c r="J1015" t="s">
        <v>48</v>
      </c>
      <c r="K1015" t="s">
        <v>2150</v>
      </c>
      <c r="L1015" s="1" t="s">
        <v>2312</v>
      </c>
      <c r="M1015" t="s">
        <v>2109</v>
      </c>
      <c r="N1015" s="1" t="s">
        <v>2697</v>
      </c>
    </row>
    <row r="1016" spans="1:14" x14ac:dyDescent="0.25">
      <c r="A1016" t="s">
        <v>1941</v>
      </c>
      <c r="B1016" t="s">
        <v>2105</v>
      </c>
      <c r="C1016" t="s">
        <v>3362</v>
      </c>
      <c r="D1016" s="2">
        <v>4.8162330792714501E-2</v>
      </c>
      <c r="E1016" s="3">
        <v>1797541.0548946101</v>
      </c>
      <c r="F1016" s="3">
        <f t="shared" si="3"/>
        <v>299590.17581576837</v>
      </c>
      <c r="G1016" s="3">
        <f t="shared" si="4"/>
        <v>149795.08790788418</v>
      </c>
      <c r="H1016" t="s">
        <v>150</v>
      </c>
      <c r="I1016" t="s">
        <v>363</v>
      </c>
      <c r="J1016" t="s">
        <v>2342</v>
      </c>
      <c r="K1016" t="s">
        <v>2121</v>
      </c>
      <c r="L1016" s="1" t="s">
        <v>2341</v>
      </c>
      <c r="M1016" t="s">
        <v>2109</v>
      </c>
      <c r="N1016" s="1" t="s">
        <v>2697</v>
      </c>
    </row>
    <row r="1017" spans="1:14" x14ac:dyDescent="0.25">
      <c r="A1017" t="s">
        <v>2099</v>
      </c>
      <c r="B1017" t="s">
        <v>2105</v>
      </c>
      <c r="C1017" t="s">
        <v>3362</v>
      </c>
      <c r="D1017" s="2">
        <v>2.8490083139847699E-2</v>
      </c>
      <c r="E1017" s="3">
        <v>387610.50745411398</v>
      </c>
      <c r="F1017" s="3">
        <f t="shared" si="3"/>
        <v>64601.751242352329</v>
      </c>
      <c r="G1017" s="3">
        <f t="shared" si="4"/>
        <v>32300.875621176165</v>
      </c>
      <c r="H1017" t="s">
        <v>27</v>
      </c>
      <c r="I1017" t="s">
        <v>2345</v>
      </c>
      <c r="J1017" t="s">
        <v>2346</v>
      </c>
      <c r="K1017" t="s">
        <v>2111</v>
      </c>
      <c r="L1017" s="1" t="s">
        <v>2344</v>
      </c>
      <c r="M1017" t="s">
        <v>2109</v>
      </c>
      <c r="N1017" s="1" t="s">
        <v>2697</v>
      </c>
    </row>
    <row r="1018" spans="1:14" x14ac:dyDescent="0.25">
      <c r="A1018" t="s">
        <v>1947</v>
      </c>
      <c r="B1018" t="s">
        <v>2105</v>
      </c>
      <c r="C1018" t="s">
        <v>3362</v>
      </c>
      <c r="D1018" s="2">
        <v>2.8222276830285099E-2</v>
      </c>
      <c r="E1018" s="3">
        <v>965084.49648828397</v>
      </c>
      <c r="F1018" s="3">
        <f t="shared" si="3"/>
        <v>160847.41608138065</v>
      </c>
      <c r="G1018" s="3">
        <f t="shared" si="4"/>
        <v>80423.708040690326</v>
      </c>
      <c r="H1018" t="s">
        <v>27</v>
      </c>
      <c r="I1018" t="s">
        <v>2349</v>
      </c>
      <c r="J1018" t="s">
        <v>2350</v>
      </c>
      <c r="K1018" t="s">
        <v>2131</v>
      </c>
      <c r="L1018" s="1" t="s">
        <v>2348</v>
      </c>
      <c r="M1018" t="s">
        <v>2109</v>
      </c>
      <c r="N1018" s="1" t="s">
        <v>2697</v>
      </c>
    </row>
    <row r="1019" spans="1:14" x14ac:dyDescent="0.25">
      <c r="A1019" t="s">
        <v>1969</v>
      </c>
      <c r="B1019" t="s">
        <v>2105</v>
      </c>
      <c r="C1019" t="s">
        <v>3362</v>
      </c>
      <c r="D1019" s="2">
        <v>2.9076001165637601E-2</v>
      </c>
      <c r="E1019" s="3">
        <v>363001.05498069001</v>
      </c>
      <c r="F1019" s="3">
        <f t="shared" ref="F1019" si="5">E1019/6</f>
        <v>60500.175830115004</v>
      </c>
      <c r="G1019" s="3">
        <f t="shared" si="4"/>
        <v>30250.087915057502</v>
      </c>
      <c r="H1019" t="s">
        <v>56</v>
      </c>
      <c r="I1019" t="s">
        <v>2218</v>
      </c>
      <c r="J1019" t="s">
        <v>2354</v>
      </c>
      <c r="K1019" t="s">
        <v>2150</v>
      </c>
      <c r="L1019" s="1" t="s">
        <v>2353</v>
      </c>
      <c r="M1019" t="s">
        <v>2109</v>
      </c>
      <c r="N1019" s="1" t="s">
        <v>2697</v>
      </c>
    </row>
    <row r="1020" spans="1:14" x14ac:dyDescent="0.25">
      <c r="A1020" t="s">
        <v>1609</v>
      </c>
      <c r="B1020" t="s">
        <v>2104</v>
      </c>
      <c r="C1020" t="s">
        <v>2103</v>
      </c>
      <c r="D1020" s="2" t="s">
        <v>20</v>
      </c>
      <c r="E1020" s="3">
        <v>0</v>
      </c>
      <c r="H1020" t="s">
        <v>56</v>
      </c>
      <c r="I1020" t="s">
        <v>201</v>
      </c>
      <c r="J1020" t="s">
        <v>56</v>
      </c>
      <c r="K1020">
        <v>15.56</v>
      </c>
      <c r="L1020">
        <v>2.5289999999999999</v>
      </c>
      <c r="M1020" s="1" t="s">
        <v>20</v>
      </c>
      <c r="N1020" s="1" t="s">
        <v>2698</v>
      </c>
    </row>
    <row r="1021" spans="1:14" x14ac:dyDescent="0.25">
      <c r="A1021" t="s">
        <v>2102</v>
      </c>
      <c r="B1021" t="s">
        <v>2104</v>
      </c>
      <c r="C1021" t="s">
        <v>2103</v>
      </c>
      <c r="D1021" s="2" t="s">
        <v>20</v>
      </c>
      <c r="E1021" s="3">
        <v>0</v>
      </c>
      <c r="H1021" t="s">
        <v>124</v>
      </c>
      <c r="I1021" t="s">
        <v>201</v>
      </c>
      <c r="J1021" t="s">
        <v>124</v>
      </c>
      <c r="K1021">
        <v>11.73</v>
      </c>
      <c r="L1021">
        <v>2.5920000000000001</v>
      </c>
      <c r="M1021" s="1" t="s">
        <v>20</v>
      </c>
      <c r="N1021" s="1" t="s">
        <v>2698</v>
      </c>
    </row>
    <row r="1022" spans="1:14" x14ac:dyDescent="0.25">
      <c r="A1022" t="s">
        <v>3360</v>
      </c>
      <c r="B1022" t="s">
        <v>2104</v>
      </c>
      <c r="C1022" t="s">
        <v>2103</v>
      </c>
      <c r="D1022" s="2">
        <v>6.0707005820195198E-2</v>
      </c>
      <c r="E1022" s="3">
        <v>5310051.1455313796</v>
      </c>
      <c r="H1022" t="s">
        <v>421</v>
      </c>
      <c r="I1022" t="s">
        <v>2180</v>
      </c>
      <c r="J1022" t="s">
        <v>2654</v>
      </c>
      <c r="K1022">
        <v>16.579999999999998</v>
      </c>
      <c r="L1022">
        <v>2.6019999999999999</v>
      </c>
      <c r="M1022" s="1">
        <v>1000</v>
      </c>
      <c r="N1022" s="1" t="s">
        <v>2698</v>
      </c>
    </row>
    <row r="1023" spans="1:14" x14ac:dyDescent="0.25">
      <c r="A1023" t="s">
        <v>3357</v>
      </c>
      <c r="B1023" t="s">
        <v>2104</v>
      </c>
      <c r="C1023" t="s">
        <v>2103</v>
      </c>
      <c r="D1023" s="2">
        <v>4.4543261286627202E-2</v>
      </c>
      <c r="E1023" s="3">
        <v>10598144.4065671</v>
      </c>
      <c r="H1023" t="s">
        <v>62</v>
      </c>
      <c r="I1023" t="s">
        <v>160</v>
      </c>
      <c r="J1023" t="s">
        <v>2650</v>
      </c>
      <c r="K1023">
        <v>17.21</v>
      </c>
      <c r="L1023">
        <v>2.5910000000000002</v>
      </c>
      <c r="M1023" s="1">
        <v>1000</v>
      </c>
      <c r="N1023" s="1" t="s">
        <v>2698</v>
      </c>
    </row>
    <row r="1024" spans="1:14" x14ac:dyDescent="0.25">
      <c r="A1024" t="s">
        <v>3356</v>
      </c>
      <c r="B1024" t="s">
        <v>2104</v>
      </c>
      <c r="C1024" t="s">
        <v>2103</v>
      </c>
      <c r="D1024" s="2" t="s">
        <v>20</v>
      </c>
      <c r="E1024" s="3">
        <v>0</v>
      </c>
      <c r="H1024" t="s">
        <v>133</v>
      </c>
      <c r="I1024" t="s">
        <v>201</v>
      </c>
      <c r="J1024" t="s">
        <v>133</v>
      </c>
      <c r="K1024">
        <v>11.73</v>
      </c>
      <c r="L1024">
        <v>2.5960000000000001</v>
      </c>
      <c r="M1024" s="1">
        <v>1000</v>
      </c>
      <c r="N1024" s="1" t="s">
        <v>2698</v>
      </c>
    </row>
    <row r="1025" spans="1:14" x14ac:dyDescent="0.25">
      <c r="A1025" t="s">
        <v>10</v>
      </c>
      <c r="B1025" t="s">
        <v>2104</v>
      </c>
      <c r="C1025" t="s">
        <v>2103</v>
      </c>
      <c r="D1025" s="2" t="s">
        <v>20</v>
      </c>
      <c r="E1025" s="3" t="s">
        <v>20</v>
      </c>
      <c r="H1025" t="s">
        <v>115</v>
      </c>
      <c r="I1025" t="s">
        <v>201</v>
      </c>
      <c r="J1025" t="s">
        <v>115</v>
      </c>
      <c r="K1025">
        <v>11.73</v>
      </c>
      <c r="L1025">
        <v>2.645</v>
      </c>
      <c r="M1025" s="1" t="s">
        <v>20</v>
      </c>
      <c r="N1025" s="1" t="s">
        <v>2698</v>
      </c>
    </row>
    <row r="1026" spans="1:14" x14ac:dyDescent="0.25">
      <c r="A1026" t="s">
        <v>1649</v>
      </c>
      <c r="B1026" t="s">
        <v>2104</v>
      </c>
      <c r="C1026" t="s">
        <v>2103</v>
      </c>
      <c r="D1026" s="2">
        <v>5.1588455080785002E-2</v>
      </c>
      <c r="E1026" s="3">
        <v>742905.51303467096</v>
      </c>
      <c r="H1026" t="s">
        <v>745</v>
      </c>
      <c r="I1026" t="s">
        <v>2403</v>
      </c>
      <c r="J1026" t="s">
        <v>2404</v>
      </c>
      <c r="K1026">
        <v>21.04</v>
      </c>
      <c r="L1026">
        <v>2.6539999999999999</v>
      </c>
      <c r="M1026" s="1">
        <v>100</v>
      </c>
      <c r="N1026" s="1" t="s">
        <v>2698</v>
      </c>
    </row>
    <row r="1027" spans="1:14" x14ac:dyDescent="0.25">
      <c r="A1027" t="s">
        <v>2657</v>
      </c>
      <c r="B1027" t="s">
        <v>2104</v>
      </c>
      <c r="C1027" t="s">
        <v>2103</v>
      </c>
      <c r="D1027" s="2">
        <v>2.7647940931777099E-2</v>
      </c>
      <c r="E1027" s="3">
        <v>8167582.0727950204</v>
      </c>
      <c r="H1027" t="s">
        <v>162</v>
      </c>
      <c r="I1027" t="s">
        <v>2405</v>
      </c>
      <c r="J1027" t="s">
        <v>2406</v>
      </c>
      <c r="K1027">
        <v>12.75</v>
      </c>
      <c r="L1027">
        <v>2.6960000000000002</v>
      </c>
      <c r="M1027" s="1">
        <v>100</v>
      </c>
      <c r="N1027" s="1" t="s">
        <v>2698</v>
      </c>
    </row>
    <row r="1028" spans="1:14" x14ac:dyDescent="0.25">
      <c r="A1028" t="s">
        <v>2658</v>
      </c>
      <c r="B1028" t="s">
        <v>2104</v>
      </c>
      <c r="C1028" t="s">
        <v>2103</v>
      </c>
      <c r="D1028" s="2">
        <v>3.0164296463548901E-2</v>
      </c>
      <c r="E1028" s="3">
        <v>10584979.2816044</v>
      </c>
      <c r="H1028" t="s">
        <v>62</v>
      </c>
      <c r="I1028" t="s">
        <v>525</v>
      </c>
      <c r="J1028" t="s">
        <v>2409</v>
      </c>
      <c r="K1028">
        <v>23.59</v>
      </c>
      <c r="L1028">
        <v>2.67</v>
      </c>
      <c r="M1028" s="1">
        <v>100</v>
      </c>
      <c r="N1028" s="1" t="s">
        <v>2698</v>
      </c>
    </row>
    <row r="1029" spans="1:14" x14ac:dyDescent="0.25">
      <c r="A1029" t="s">
        <v>2659</v>
      </c>
      <c r="B1029" t="s">
        <v>2104</v>
      </c>
      <c r="C1029" t="s">
        <v>2103</v>
      </c>
      <c r="D1029" s="2">
        <v>3.0179381846436201E-2</v>
      </c>
      <c r="E1029" s="3">
        <v>10506915.270228701</v>
      </c>
      <c r="H1029" t="s">
        <v>56</v>
      </c>
      <c r="I1029" t="s">
        <v>823</v>
      </c>
      <c r="J1029" t="s">
        <v>997</v>
      </c>
      <c r="K1029">
        <v>19.13</v>
      </c>
      <c r="L1029">
        <v>2.6970000000000001</v>
      </c>
      <c r="M1029" s="1">
        <v>100</v>
      </c>
      <c r="N1029" s="1" t="s">
        <v>2698</v>
      </c>
    </row>
    <row r="1030" spans="1:14" x14ac:dyDescent="0.25">
      <c r="A1030" t="s">
        <v>1654</v>
      </c>
      <c r="B1030" t="s">
        <v>2104</v>
      </c>
      <c r="C1030" t="s">
        <v>2103</v>
      </c>
      <c r="D1030" s="2">
        <v>2.69586980676308E-2</v>
      </c>
      <c r="E1030" s="3">
        <v>5238021.2985511404</v>
      </c>
      <c r="H1030" t="s">
        <v>124</v>
      </c>
      <c r="I1030" t="s">
        <v>2414</v>
      </c>
      <c r="J1030" t="s">
        <v>2415</v>
      </c>
      <c r="K1030">
        <v>19.13</v>
      </c>
      <c r="L1030">
        <v>2.6829999999999998</v>
      </c>
      <c r="M1030" s="1">
        <v>100</v>
      </c>
      <c r="N1030" s="1" t="s">
        <v>2698</v>
      </c>
    </row>
    <row r="1031" spans="1:14" x14ac:dyDescent="0.25">
      <c r="A1031" t="s">
        <v>2660</v>
      </c>
      <c r="B1031" t="s">
        <v>2104</v>
      </c>
      <c r="C1031" t="s">
        <v>2103</v>
      </c>
      <c r="D1031" s="2">
        <v>2.9139474370377401E-2</v>
      </c>
      <c r="E1031" s="3">
        <v>96816.533054014493</v>
      </c>
      <c r="H1031" t="s">
        <v>207</v>
      </c>
      <c r="I1031" t="s">
        <v>415</v>
      </c>
      <c r="J1031" t="s">
        <v>545</v>
      </c>
      <c r="K1031">
        <v>15.3</v>
      </c>
      <c r="L1031">
        <v>2.7010000000000001</v>
      </c>
      <c r="M1031" s="1" t="s">
        <v>20</v>
      </c>
      <c r="N1031" s="1" t="s">
        <v>2698</v>
      </c>
    </row>
    <row r="1032" spans="1:14" x14ac:dyDescent="0.25">
      <c r="A1032" t="s">
        <v>1656</v>
      </c>
      <c r="B1032" t="s">
        <v>2104</v>
      </c>
      <c r="C1032" t="s">
        <v>2103</v>
      </c>
      <c r="D1032" s="2">
        <v>3.0513164763940798E-2</v>
      </c>
      <c r="E1032" s="3">
        <v>2789538.40680044</v>
      </c>
      <c r="H1032" t="s">
        <v>62</v>
      </c>
      <c r="I1032" t="s">
        <v>2419</v>
      </c>
      <c r="J1032" t="s">
        <v>2420</v>
      </c>
      <c r="K1032">
        <v>14.03</v>
      </c>
      <c r="L1032">
        <v>2.7080000000000002</v>
      </c>
      <c r="M1032" s="1">
        <v>100</v>
      </c>
      <c r="N1032" s="1" t="s">
        <v>2698</v>
      </c>
    </row>
    <row r="1033" spans="1:14" x14ac:dyDescent="0.25">
      <c r="A1033" t="s">
        <v>2661</v>
      </c>
      <c r="B1033" t="s">
        <v>2104</v>
      </c>
      <c r="C1033" t="s">
        <v>2103</v>
      </c>
      <c r="D1033" s="2">
        <v>2.8090243404725799E-2</v>
      </c>
      <c r="E1033" s="3">
        <v>397229.67329580098</v>
      </c>
      <c r="H1033" t="s">
        <v>130</v>
      </c>
      <c r="I1033" t="s">
        <v>2423</v>
      </c>
      <c r="J1033" t="s">
        <v>2424</v>
      </c>
      <c r="K1033">
        <v>14.66</v>
      </c>
      <c r="L1033">
        <v>2.65</v>
      </c>
      <c r="M1033" s="1">
        <v>10</v>
      </c>
      <c r="N1033" s="1" t="s">
        <v>2698</v>
      </c>
    </row>
    <row r="1034" spans="1:14" x14ac:dyDescent="0.25">
      <c r="A1034" t="s">
        <v>1658</v>
      </c>
      <c r="B1034" t="s">
        <v>2104</v>
      </c>
      <c r="C1034" t="s">
        <v>2103</v>
      </c>
      <c r="D1034" s="2">
        <v>4.2775795761143397E-2</v>
      </c>
      <c r="E1034" s="3">
        <v>1142422.4826724799</v>
      </c>
      <c r="H1034" t="s">
        <v>136</v>
      </c>
      <c r="I1034" t="s">
        <v>2425</v>
      </c>
      <c r="J1034" t="s">
        <v>2426</v>
      </c>
      <c r="K1034">
        <v>16.579999999999998</v>
      </c>
      <c r="L1034">
        <v>2.6440000000000001</v>
      </c>
      <c r="M1034" s="1">
        <v>100</v>
      </c>
      <c r="N1034" s="1" t="s">
        <v>2698</v>
      </c>
    </row>
    <row r="1035" spans="1:14" x14ac:dyDescent="0.25">
      <c r="A1035" t="s">
        <v>2662</v>
      </c>
      <c r="B1035" t="s">
        <v>2104</v>
      </c>
      <c r="C1035" t="s">
        <v>2103</v>
      </c>
      <c r="D1035" s="2">
        <v>2.75973542716157E-2</v>
      </c>
      <c r="E1035" s="3">
        <v>4413199.0183187705</v>
      </c>
      <c r="H1035" t="s">
        <v>308</v>
      </c>
      <c r="I1035" t="s">
        <v>2429</v>
      </c>
      <c r="J1035" t="s">
        <v>2430</v>
      </c>
      <c r="K1035">
        <v>15.3</v>
      </c>
      <c r="L1035">
        <v>2.6179999999999999</v>
      </c>
      <c r="M1035" s="1">
        <v>100</v>
      </c>
      <c r="N1035" s="1" t="s">
        <v>2698</v>
      </c>
    </row>
    <row r="1036" spans="1:14" x14ac:dyDescent="0.25">
      <c r="A1036" t="s">
        <v>1660</v>
      </c>
      <c r="B1036" t="s">
        <v>2104</v>
      </c>
      <c r="C1036" t="s">
        <v>2103</v>
      </c>
      <c r="D1036" s="2">
        <v>5.7702376702799499E-2</v>
      </c>
      <c r="E1036" s="3">
        <v>607581.56981456501</v>
      </c>
      <c r="H1036" t="s">
        <v>24</v>
      </c>
      <c r="I1036" t="s">
        <v>2609</v>
      </c>
      <c r="J1036" t="s">
        <v>1525</v>
      </c>
      <c r="K1036">
        <v>19.760000000000002</v>
      </c>
      <c r="L1036">
        <v>2.5409999999999999</v>
      </c>
      <c r="M1036" s="1">
        <v>100</v>
      </c>
      <c r="N1036" s="1" t="s">
        <v>2698</v>
      </c>
    </row>
    <row r="1037" spans="1:14" x14ac:dyDescent="0.25">
      <c r="A1037" t="s">
        <v>2688</v>
      </c>
      <c r="B1037" t="s">
        <v>2104</v>
      </c>
      <c r="C1037" t="s">
        <v>2103</v>
      </c>
      <c r="D1037" s="2">
        <v>3.2724838317314403E-2</v>
      </c>
      <c r="E1037" s="3">
        <v>2390490.4808176099</v>
      </c>
      <c r="H1037" t="s">
        <v>124</v>
      </c>
      <c r="I1037" t="s">
        <v>238</v>
      </c>
      <c r="J1037" t="s">
        <v>2611</v>
      </c>
      <c r="K1037">
        <v>19.760000000000002</v>
      </c>
      <c r="L1037">
        <v>2.5289999999999999</v>
      </c>
      <c r="M1037" s="1">
        <v>100</v>
      </c>
      <c r="N1037" s="1" t="s">
        <v>2698</v>
      </c>
    </row>
    <row r="1038" spans="1:14" x14ac:dyDescent="0.25">
      <c r="A1038" t="s">
        <v>2689</v>
      </c>
      <c r="B1038" t="s">
        <v>2104</v>
      </c>
      <c r="C1038" t="s">
        <v>2103</v>
      </c>
      <c r="D1038" s="2">
        <v>2.7032609848660401E-2</v>
      </c>
      <c r="E1038" s="3">
        <v>7120065.1825379403</v>
      </c>
      <c r="H1038" t="s">
        <v>2614</v>
      </c>
      <c r="I1038" t="s">
        <v>2615</v>
      </c>
      <c r="J1038" t="s">
        <v>2616</v>
      </c>
      <c r="K1038">
        <v>14.66</v>
      </c>
      <c r="L1038">
        <v>2.4729999999999999</v>
      </c>
      <c r="M1038" s="1">
        <v>100</v>
      </c>
      <c r="N1038" s="1" t="s">
        <v>2698</v>
      </c>
    </row>
    <row r="1039" spans="1:14" x14ac:dyDescent="0.25">
      <c r="A1039" t="s">
        <v>2663</v>
      </c>
      <c r="B1039" t="s">
        <v>2104</v>
      </c>
      <c r="C1039" t="s">
        <v>2103</v>
      </c>
      <c r="D1039" s="2">
        <v>2.8930882605610799E-2</v>
      </c>
      <c r="E1039" s="3">
        <v>9952541.4186174497</v>
      </c>
      <c r="H1039" t="s">
        <v>232</v>
      </c>
      <c r="I1039" t="s">
        <v>2433</v>
      </c>
      <c r="J1039" t="s">
        <v>1488</v>
      </c>
      <c r="K1039">
        <v>22.31</v>
      </c>
      <c r="L1039">
        <v>2.5790000000000002</v>
      </c>
      <c r="M1039" s="1">
        <v>100</v>
      </c>
      <c r="N1039" s="1" t="s">
        <v>2698</v>
      </c>
    </row>
    <row r="1040" spans="1:14" x14ac:dyDescent="0.25">
      <c r="A1040" t="s">
        <v>2664</v>
      </c>
      <c r="B1040" t="s">
        <v>2104</v>
      </c>
      <c r="C1040" t="s">
        <v>2103</v>
      </c>
      <c r="D1040" s="2">
        <v>3.8201000331039098E-2</v>
      </c>
      <c r="E1040" s="3">
        <v>1525769.2542024299</v>
      </c>
      <c r="H1040" t="s">
        <v>32</v>
      </c>
      <c r="I1040" t="s">
        <v>2435</v>
      </c>
      <c r="J1040" t="s">
        <v>2436</v>
      </c>
      <c r="K1040">
        <v>14.66</v>
      </c>
      <c r="L1040">
        <v>2.637</v>
      </c>
      <c r="M1040" s="1">
        <v>100</v>
      </c>
      <c r="N1040" s="1" t="s">
        <v>2698</v>
      </c>
    </row>
    <row r="1041" spans="1:14" x14ac:dyDescent="0.25">
      <c r="A1041" t="s">
        <v>2665</v>
      </c>
      <c r="B1041" t="s">
        <v>2104</v>
      </c>
      <c r="C1041" t="s">
        <v>2103</v>
      </c>
      <c r="D1041" s="2">
        <v>3.5935231168327697E-2</v>
      </c>
      <c r="E1041" s="3">
        <v>1800563.2782729899</v>
      </c>
      <c r="H1041" t="s">
        <v>287</v>
      </c>
      <c r="I1041" t="s">
        <v>2439</v>
      </c>
      <c r="J1041" t="s">
        <v>2440</v>
      </c>
      <c r="K1041">
        <v>17.850000000000001</v>
      </c>
      <c r="L1041">
        <v>2.605</v>
      </c>
      <c r="M1041" s="1">
        <v>100</v>
      </c>
      <c r="N1041" s="1" t="s">
        <v>2698</v>
      </c>
    </row>
    <row r="1042" spans="1:14" x14ac:dyDescent="0.25">
      <c r="A1042" t="s">
        <v>1666</v>
      </c>
      <c r="B1042" t="s">
        <v>2104</v>
      </c>
      <c r="C1042" t="s">
        <v>2103</v>
      </c>
      <c r="D1042" s="2">
        <v>3.9379848889180002E-2</v>
      </c>
      <c r="E1042" s="3">
        <v>1503473.3765241499</v>
      </c>
      <c r="H1042" t="s">
        <v>42</v>
      </c>
      <c r="I1042" t="s">
        <v>364</v>
      </c>
      <c r="J1042" t="s">
        <v>2495</v>
      </c>
      <c r="K1042">
        <v>18.489999999999998</v>
      </c>
      <c r="L1042">
        <v>2.4750000000000001</v>
      </c>
      <c r="M1042" s="1">
        <v>100</v>
      </c>
      <c r="N1042" s="1" t="s">
        <v>2698</v>
      </c>
    </row>
    <row r="1043" spans="1:14" x14ac:dyDescent="0.25">
      <c r="A1043" t="s">
        <v>1667</v>
      </c>
      <c r="B1043" t="s">
        <v>2104</v>
      </c>
      <c r="C1043" t="s">
        <v>2103</v>
      </c>
      <c r="D1043" s="2">
        <v>3.1374721590082699E-2</v>
      </c>
      <c r="E1043" s="3">
        <v>27786.351322604402</v>
      </c>
      <c r="H1043" t="s">
        <v>347</v>
      </c>
      <c r="I1043" t="s">
        <v>2621</v>
      </c>
      <c r="J1043" t="s">
        <v>2622</v>
      </c>
      <c r="K1043">
        <v>10.84</v>
      </c>
      <c r="L1043">
        <v>2.48</v>
      </c>
      <c r="M1043" s="1" t="s">
        <v>20</v>
      </c>
      <c r="N1043" s="1" t="s">
        <v>2698</v>
      </c>
    </row>
    <row r="1044" spans="1:14" x14ac:dyDescent="0.25">
      <c r="A1044" t="s">
        <v>2690</v>
      </c>
      <c r="B1044" t="s">
        <v>2104</v>
      </c>
      <c r="C1044" t="s">
        <v>2103</v>
      </c>
      <c r="D1044" s="2">
        <v>2.8440536956060899E-2</v>
      </c>
      <c r="E1044" s="3">
        <v>3909320.18638871</v>
      </c>
      <c r="H1044" t="s">
        <v>150</v>
      </c>
      <c r="I1044" t="s">
        <v>2623</v>
      </c>
      <c r="J1044" t="s">
        <v>2624</v>
      </c>
      <c r="K1044">
        <v>13.39</v>
      </c>
      <c r="L1044">
        <v>2.54</v>
      </c>
      <c r="M1044" s="1">
        <v>100</v>
      </c>
      <c r="N1044" s="1" t="s">
        <v>2698</v>
      </c>
    </row>
    <row r="1045" spans="1:14" x14ac:dyDescent="0.25">
      <c r="A1045" t="s">
        <v>1670</v>
      </c>
      <c r="B1045" t="s">
        <v>2104</v>
      </c>
      <c r="C1045" t="s">
        <v>2103</v>
      </c>
      <c r="D1045" s="2">
        <v>3.4193639284004401E-2</v>
      </c>
      <c r="E1045" s="3">
        <v>2040049.69662475</v>
      </c>
      <c r="H1045" t="s">
        <v>634</v>
      </c>
      <c r="I1045" t="s">
        <v>2626</v>
      </c>
      <c r="J1045" t="s">
        <v>2627</v>
      </c>
      <c r="K1045">
        <v>14.03</v>
      </c>
      <c r="L1045">
        <v>2.621</v>
      </c>
      <c r="M1045" s="1">
        <v>100</v>
      </c>
      <c r="N1045" s="1" t="s">
        <v>2698</v>
      </c>
    </row>
    <row r="1046" spans="1:14" x14ac:dyDescent="0.25">
      <c r="A1046" t="s">
        <v>1671</v>
      </c>
      <c r="B1046" t="s">
        <v>2104</v>
      </c>
      <c r="C1046" t="s">
        <v>2103</v>
      </c>
      <c r="D1046" s="2">
        <v>2.68429643306888E-2</v>
      </c>
      <c r="E1046" s="3">
        <v>6605585.8427409502</v>
      </c>
      <c r="H1046" t="s">
        <v>347</v>
      </c>
      <c r="I1046" t="s">
        <v>2443</v>
      </c>
      <c r="J1046" t="s">
        <v>849</v>
      </c>
      <c r="K1046">
        <v>19.760000000000002</v>
      </c>
      <c r="L1046">
        <v>2.613</v>
      </c>
      <c r="M1046" s="1">
        <v>100</v>
      </c>
      <c r="N1046" s="1" t="s">
        <v>2698</v>
      </c>
    </row>
    <row r="1047" spans="1:14" x14ac:dyDescent="0.25">
      <c r="A1047" t="s">
        <v>2666</v>
      </c>
      <c r="B1047" t="s">
        <v>2104</v>
      </c>
      <c r="C1047" t="s">
        <v>2103</v>
      </c>
      <c r="D1047" s="2">
        <v>3.08704943646575E-2</v>
      </c>
      <c r="E1047" s="3">
        <v>2688058.87579615</v>
      </c>
      <c r="H1047" t="s">
        <v>71</v>
      </c>
      <c r="I1047" t="s">
        <v>2445</v>
      </c>
      <c r="J1047" t="s">
        <v>2446</v>
      </c>
      <c r="K1047">
        <v>15.94</v>
      </c>
      <c r="L1047">
        <v>2.7010000000000001</v>
      </c>
      <c r="M1047" s="1">
        <v>100</v>
      </c>
      <c r="N1047" s="1" t="s">
        <v>2698</v>
      </c>
    </row>
    <row r="1048" spans="1:14" x14ac:dyDescent="0.25">
      <c r="A1048" t="s">
        <v>2667</v>
      </c>
      <c r="B1048" t="s">
        <v>2104</v>
      </c>
      <c r="C1048" t="s">
        <v>2103</v>
      </c>
      <c r="D1048" s="2">
        <v>4.8170885071396101E-2</v>
      </c>
      <c r="E1048" s="3">
        <v>17911289.6096524</v>
      </c>
      <c r="H1048" t="s">
        <v>88</v>
      </c>
      <c r="I1048" t="s">
        <v>1161</v>
      </c>
      <c r="J1048" t="s">
        <v>2342</v>
      </c>
      <c r="K1048">
        <v>17.21</v>
      </c>
      <c r="L1048">
        <v>2.6579999999999999</v>
      </c>
      <c r="M1048" s="1">
        <v>100</v>
      </c>
      <c r="N1048" s="1" t="s">
        <v>2698</v>
      </c>
    </row>
    <row r="1049" spans="1:14" x14ac:dyDescent="0.25">
      <c r="A1049" t="s">
        <v>2070</v>
      </c>
      <c r="B1049" t="s">
        <v>2104</v>
      </c>
      <c r="C1049" t="s">
        <v>2103</v>
      </c>
      <c r="D1049" s="2">
        <v>2.7775327685004601E-2</v>
      </c>
      <c r="E1049" s="3">
        <v>4275887.85498989</v>
      </c>
      <c r="H1049" t="s">
        <v>17</v>
      </c>
      <c r="I1049" t="s">
        <v>1599</v>
      </c>
      <c r="J1049" t="s">
        <v>2064</v>
      </c>
      <c r="K1049">
        <v>10.84</v>
      </c>
      <c r="L1049">
        <v>2.6160000000000001</v>
      </c>
      <c r="M1049" s="1">
        <v>100</v>
      </c>
      <c r="N1049" s="1" t="s">
        <v>2698</v>
      </c>
    </row>
    <row r="1050" spans="1:14" x14ac:dyDescent="0.25">
      <c r="A1050" t="s">
        <v>1675</v>
      </c>
      <c r="B1050" t="s">
        <v>2104</v>
      </c>
      <c r="C1050" t="s">
        <v>2103</v>
      </c>
      <c r="D1050" s="2">
        <v>6.1087044109482298E-2</v>
      </c>
      <c r="E1050" s="3">
        <v>545643.03418762796</v>
      </c>
      <c r="H1050" t="s">
        <v>284</v>
      </c>
      <c r="I1050" t="s">
        <v>2451</v>
      </c>
      <c r="J1050" t="s">
        <v>595</v>
      </c>
      <c r="K1050">
        <v>15.94</v>
      </c>
      <c r="L1050">
        <v>2.492</v>
      </c>
      <c r="M1050" s="1">
        <v>100</v>
      </c>
      <c r="N1050" s="1" t="s">
        <v>2698</v>
      </c>
    </row>
    <row r="1051" spans="1:14" x14ac:dyDescent="0.25">
      <c r="A1051" t="s">
        <v>2691</v>
      </c>
      <c r="B1051" t="s">
        <v>2104</v>
      </c>
      <c r="C1051" t="s">
        <v>2103</v>
      </c>
      <c r="D1051" s="2">
        <v>3.2843777906947799E-2</v>
      </c>
      <c r="E1051" s="3">
        <v>2302475.11888636</v>
      </c>
      <c r="H1051" t="s">
        <v>217</v>
      </c>
      <c r="I1051" t="s">
        <v>2629</v>
      </c>
      <c r="J1051" t="s">
        <v>2630</v>
      </c>
      <c r="K1051">
        <v>12.75</v>
      </c>
      <c r="L1051">
        <v>2.6219999999999999</v>
      </c>
      <c r="M1051" s="1">
        <v>100</v>
      </c>
      <c r="N1051" s="1" t="s">
        <v>2698</v>
      </c>
    </row>
    <row r="1052" spans="1:14" x14ac:dyDescent="0.25">
      <c r="A1052" t="s">
        <v>2692</v>
      </c>
      <c r="B1052" t="s">
        <v>2104</v>
      </c>
      <c r="C1052" t="s">
        <v>2103</v>
      </c>
      <c r="D1052" s="2">
        <v>2.7583817463191801E-2</v>
      </c>
      <c r="E1052" s="3">
        <v>8436358.6726301294</v>
      </c>
      <c r="H1052" t="s">
        <v>76</v>
      </c>
      <c r="I1052" t="s">
        <v>270</v>
      </c>
      <c r="J1052" t="s">
        <v>1158</v>
      </c>
      <c r="K1052">
        <v>19.760000000000002</v>
      </c>
      <c r="L1052">
        <v>2.5750000000000002</v>
      </c>
      <c r="M1052" s="1">
        <v>100</v>
      </c>
      <c r="N1052" s="1" t="s">
        <v>2698</v>
      </c>
    </row>
    <row r="1053" spans="1:14" x14ac:dyDescent="0.25">
      <c r="A1053" t="s">
        <v>2693</v>
      </c>
      <c r="B1053" t="s">
        <v>2104</v>
      </c>
      <c r="C1053" t="s">
        <v>2103</v>
      </c>
      <c r="D1053" s="2">
        <v>4.08640204840598E-2</v>
      </c>
      <c r="E1053" s="3">
        <v>1335307.4401149401</v>
      </c>
      <c r="H1053" t="s">
        <v>1103</v>
      </c>
      <c r="I1053" t="s">
        <v>459</v>
      </c>
      <c r="J1053" t="s">
        <v>2635</v>
      </c>
      <c r="K1053">
        <v>15.94</v>
      </c>
      <c r="L1053">
        <v>2.5419999999999998</v>
      </c>
      <c r="M1053" s="1">
        <v>100</v>
      </c>
      <c r="N1053" s="1" t="s">
        <v>2698</v>
      </c>
    </row>
    <row r="1054" spans="1:14" x14ac:dyDescent="0.25">
      <c r="A1054" t="s">
        <v>2078</v>
      </c>
      <c r="B1054" t="s">
        <v>2104</v>
      </c>
      <c r="C1054" t="s">
        <v>2103</v>
      </c>
      <c r="D1054" s="2">
        <v>2.78683758480615E-2</v>
      </c>
      <c r="E1054" s="3">
        <v>4385668.3163505904</v>
      </c>
      <c r="H1054" t="s">
        <v>232</v>
      </c>
      <c r="I1054" t="s">
        <v>23</v>
      </c>
      <c r="J1054" t="s">
        <v>2637</v>
      </c>
      <c r="K1054">
        <v>15.94</v>
      </c>
      <c r="L1054">
        <v>2.4969999999999999</v>
      </c>
      <c r="M1054" s="1">
        <v>100</v>
      </c>
      <c r="N1054" s="1" t="s">
        <v>2698</v>
      </c>
    </row>
    <row r="1055" spans="1:14" x14ac:dyDescent="0.25">
      <c r="A1055" t="s">
        <v>1731</v>
      </c>
      <c r="B1055" t="s">
        <v>2104</v>
      </c>
      <c r="C1055" t="s">
        <v>2103</v>
      </c>
      <c r="D1055" s="2">
        <v>2.7209936109795101E-2</v>
      </c>
      <c r="E1055" s="3">
        <v>5018927.2592697199</v>
      </c>
      <c r="H1055" t="s">
        <v>98</v>
      </c>
      <c r="I1055" t="s">
        <v>2640</v>
      </c>
      <c r="J1055" t="s">
        <v>1298</v>
      </c>
      <c r="K1055">
        <v>10.84</v>
      </c>
      <c r="L1055">
        <v>2.5419999999999998</v>
      </c>
      <c r="M1055" s="1">
        <v>100</v>
      </c>
      <c r="N1055" s="1" t="s">
        <v>2698</v>
      </c>
    </row>
    <row r="1056" spans="1:14" x14ac:dyDescent="0.25">
      <c r="A1056" t="s">
        <v>2694</v>
      </c>
      <c r="B1056" t="s">
        <v>2104</v>
      </c>
      <c r="C1056" t="s">
        <v>2103</v>
      </c>
      <c r="D1056" s="2">
        <v>3.7928123985517398E-2</v>
      </c>
      <c r="E1056" s="3">
        <v>1636476.5202075001</v>
      </c>
      <c r="H1056" t="s">
        <v>2641</v>
      </c>
      <c r="I1056" t="s">
        <v>2642</v>
      </c>
      <c r="J1056" t="s">
        <v>2643</v>
      </c>
      <c r="K1056">
        <v>14.03</v>
      </c>
      <c r="L1056">
        <v>2.5099999999999998</v>
      </c>
      <c r="M1056" s="1">
        <v>100</v>
      </c>
      <c r="N1056" s="1" t="s">
        <v>2698</v>
      </c>
    </row>
    <row r="1057" spans="1:14" x14ac:dyDescent="0.25">
      <c r="A1057" t="s">
        <v>2695</v>
      </c>
      <c r="B1057" t="s">
        <v>2104</v>
      </c>
      <c r="C1057" t="s">
        <v>2103</v>
      </c>
      <c r="D1057" s="2">
        <v>2.6976750928553499E-2</v>
      </c>
      <c r="E1057" s="3">
        <v>5381407.94515632</v>
      </c>
      <c r="H1057" t="s">
        <v>240</v>
      </c>
      <c r="I1057" t="s">
        <v>2644</v>
      </c>
      <c r="J1057" t="s">
        <v>2645</v>
      </c>
      <c r="K1057">
        <v>19.13</v>
      </c>
      <c r="L1057">
        <v>2.5590000000000002</v>
      </c>
      <c r="M1057" s="1">
        <v>100</v>
      </c>
      <c r="N1057" s="1" t="s">
        <v>2698</v>
      </c>
    </row>
    <row r="1058" spans="1:14" x14ac:dyDescent="0.25">
      <c r="A1058" t="s">
        <v>2696</v>
      </c>
      <c r="B1058" t="s">
        <v>2104</v>
      </c>
      <c r="C1058" t="s">
        <v>2103</v>
      </c>
      <c r="D1058" s="2">
        <v>5.3679421122864897E-2</v>
      </c>
      <c r="E1058" s="3">
        <v>715150.64984077401</v>
      </c>
      <c r="H1058" t="s">
        <v>476</v>
      </c>
      <c r="I1058" t="s">
        <v>2646</v>
      </c>
      <c r="J1058" t="s">
        <v>1190</v>
      </c>
      <c r="K1058">
        <v>18.489999999999998</v>
      </c>
      <c r="L1058">
        <v>2.625</v>
      </c>
      <c r="M1058" s="1">
        <v>100</v>
      </c>
      <c r="N1058" s="1" t="s">
        <v>2698</v>
      </c>
    </row>
    <row r="1059" spans="1:14" x14ac:dyDescent="0.25">
      <c r="A1059" t="s">
        <v>1736</v>
      </c>
      <c r="B1059" t="s">
        <v>2104</v>
      </c>
      <c r="C1059" t="s">
        <v>2103</v>
      </c>
      <c r="D1059" s="2">
        <v>2.7759976679764799E-2</v>
      </c>
      <c r="E1059" s="3">
        <v>8516301.5120717995</v>
      </c>
      <c r="H1059" t="s">
        <v>169</v>
      </c>
      <c r="I1059" t="s">
        <v>1265</v>
      </c>
      <c r="J1059" t="s">
        <v>974</v>
      </c>
      <c r="K1059">
        <v>12.11</v>
      </c>
      <c r="L1059">
        <v>2.62</v>
      </c>
      <c r="M1059" s="1">
        <v>100</v>
      </c>
      <c r="N1059" s="1" t="s">
        <v>2698</v>
      </c>
    </row>
    <row r="1060" spans="1:14" x14ac:dyDescent="0.25">
      <c r="A1060" t="s">
        <v>2668</v>
      </c>
      <c r="B1060" t="s">
        <v>2104</v>
      </c>
      <c r="C1060" t="s">
        <v>2103</v>
      </c>
      <c r="D1060" s="2">
        <v>2.70411378561159E-2</v>
      </c>
      <c r="E1060" s="3">
        <v>5304540.9378218101</v>
      </c>
      <c r="H1060" t="s">
        <v>17</v>
      </c>
      <c r="I1060" t="s">
        <v>2454</v>
      </c>
      <c r="J1060" t="s">
        <v>2455</v>
      </c>
      <c r="K1060">
        <v>13.39</v>
      </c>
      <c r="L1060">
        <v>2.5630000000000002</v>
      </c>
      <c r="M1060" s="1">
        <v>100</v>
      </c>
      <c r="N1060" s="1" t="s">
        <v>2698</v>
      </c>
    </row>
    <row r="1061" spans="1:14" x14ac:dyDescent="0.25">
      <c r="A1061" t="s">
        <v>2072</v>
      </c>
      <c r="B1061" t="s">
        <v>2104</v>
      </c>
      <c r="C1061" t="s">
        <v>2103</v>
      </c>
      <c r="D1061" s="2">
        <v>2.9695005292765499E-2</v>
      </c>
      <c r="E1061" s="3">
        <v>321582.07911332801</v>
      </c>
      <c r="H1061" t="s">
        <v>227</v>
      </c>
      <c r="I1061" t="s">
        <v>900</v>
      </c>
      <c r="J1061" t="s">
        <v>2456</v>
      </c>
      <c r="K1061">
        <v>13.39</v>
      </c>
      <c r="L1061">
        <v>2.5739999999999998</v>
      </c>
      <c r="M1061" s="1">
        <v>10</v>
      </c>
      <c r="N1061" s="1" t="s">
        <v>2698</v>
      </c>
    </row>
    <row r="1062" spans="1:14" x14ac:dyDescent="0.25">
      <c r="A1062" t="s">
        <v>1778</v>
      </c>
      <c r="B1062" t="s">
        <v>2104</v>
      </c>
      <c r="C1062" t="s">
        <v>2103</v>
      </c>
      <c r="D1062" s="2">
        <v>2.6792487989377702E-2</v>
      </c>
      <c r="E1062" s="3">
        <v>6295943.1405112399</v>
      </c>
      <c r="H1062" t="s">
        <v>56</v>
      </c>
      <c r="I1062" t="s">
        <v>2459</v>
      </c>
      <c r="J1062" t="s">
        <v>2460</v>
      </c>
      <c r="K1062">
        <v>14.03</v>
      </c>
      <c r="L1062">
        <v>2.5329999999999999</v>
      </c>
      <c r="M1062" s="1">
        <v>100</v>
      </c>
      <c r="N1062" s="1" t="s">
        <v>2698</v>
      </c>
    </row>
    <row r="1063" spans="1:14" x14ac:dyDescent="0.25">
      <c r="A1063" t="s">
        <v>2669</v>
      </c>
      <c r="B1063" t="s">
        <v>2104</v>
      </c>
      <c r="C1063" t="s">
        <v>2103</v>
      </c>
      <c r="D1063" s="2">
        <v>2.82712990031159E-2</v>
      </c>
      <c r="E1063" s="3">
        <v>9239041.3929983899</v>
      </c>
      <c r="H1063" t="s">
        <v>324</v>
      </c>
      <c r="I1063" t="s">
        <v>1312</v>
      </c>
      <c r="J1063" t="s">
        <v>425</v>
      </c>
      <c r="K1063">
        <v>20.399999999999999</v>
      </c>
      <c r="L1063">
        <v>2.593</v>
      </c>
      <c r="M1063" s="1">
        <v>100</v>
      </c>
      <c r="N1063" s="1" t="s">
        <v>2698</v>
      </c>
    </row>
    <row r="1064" spans="1:14" x14ac:dyDescent="0.25">
      <c r="A1064" t="s">
        <v>1780</v>
      </c>
      <c r="B1064" t="s">
        <v>2104</v>
      </c>
      <c r="C1064" t="s">
        <v>2103</v>
      </c>
      <c r="D1064" s="2">
        <v>2.8474712058562099E-2</v>
      </c>
      <c r="E1064" s="3">
        <v>9005034.7187417205</v>
      </c>
      <c r="H1064" t="s">
        <v>169</v>
      </c>
      <c r="I1064" t="s">
        <v>2465</v>
      </c>
      <c r="J1064" t="s">
        <v>2466</v>
      </c>
      <c r="K1064">
        <v>15.3</v>
      </c>
      <c r="L1064">
        <v>2.7160000000000002</v>
      </c>
      <c r="M1064" s="1">
        <v>100</v>
      </c>
      <c r="N1064" s="1" t="s">
        <v>2698</v>
      </c>
    </row>
    <row r="1065" spans="1:14" x14ac:dyDescent="0.25">
      <c r="A1065" t="s">
        <v>2670</v>
      </c>
      <c r="B1065" t="s">
        <v>2104</v>
      </c>
      <c r="C1065" t="s">
        <v>2103</v>
      </c>
      <c r="D1065" s="2">
        <v>3.2471810080351202E-2</v>
      </c>
      <c r="E1065" s="3">
        <v>2336183.9869966698</v>
      </c>
      <c r="H1065" t="s">
        <v>79</v>
      </c>
      <c r="I1065" t="s">
        <v>2469</v>
      </c>
      <c r="J1065" t="s">
        <v>2470</v>
      </c>
      <c r="K1065">
        <v>15.3</v>
      </c>
      <c r="L1065">
        <v>2.66</v>
      </c>
      <c r="M1065" s="1">
        <v>100</v>
      </c>
      <c r="N1065" s="1" t="s">
        <v>2698</v>
      </c>
    </row>
    <row r="1066" spans="1:14" x14ac:dyDescent="0.25">
      <c r="A1066" t="s">
        <v>1783</v>
      </c>
      <c r="B1066" t="s">
        <v>2104</v>
      </c>
      <c r="C1066" t="s">
        <v>2103</v>
      </c>
      <c r="D1066" s="2">
        <v>2.89169022629631E-2</v>
      </c>
      <c r="E1066" s="3">
        <v>3693970.5194023899</v>
      </c>
      <c r="H1066" t="s">
        <v>150</v>
      </c>
      <c r="I1066" t="s">
        <v>2472</v>
      </c>
      <c r="J1066" t="s">
        <v>2211</v>
      </c>
      <c r="K1066">
        <v>18.489999999999998</v>
      </c>
      <c r="L1066">
        <v>2.5</v>
      </c>
      <c r="M1066" s="1">
        <v>100</v>
      </c>
      <c r="N1066" s="1" t="s">
        <v>2698</v>
      </c>
    </row>
    <row r="1067" spans="1:14" x14ac:dyDescent="0.25">
      <c r="A1067" t="s">
        <v>2671</v>
      </c>
      <c r="B1067" t="s">
        <v>2104</v>
      </c>
      <c r="C1067" t="s">
        <v>2103</v>
      </c>
      <c r="D1067" s="2">
        <v>3.0644997632875801E-2</v>
      </c>
      <c r="E1067" s="3">
        <v>11662010.8419888</v>
      </c>
      <c r="H1067" t="s">
        <v>232</v>
      </c>
      <c r="I1067" t="s">
        <v>713</v>
      </c>
      <c r="J1067" t="s">
        <v>2475</v>
      </c>
      <c r="K1067">
        <v>19.13</v>
      </c>
      <c r="L1067">
        <v>2.504</v>
      </c>
      <c r="M1067" s="1">
        <v>100</v>
      </c>
      <c r="N1067" s="1" t="s">
        <v>2698</v>
      </c>
    </row>
    <row r="1068" spans="1:14" x14ac:dyDescent="0.25">
      <c r="A1068" t="s">
        <v>1785</v>
      </c>
      <c r="B1068" t="s">
        <v>2104</v>
      </c>
      <c r="C1068" t="s">
        <v>2103</v>
      </c>
      <c r="D1068" s="2">
        <v>3.6323857029066001E-2</v>
      </c>
      <c r="E1068" s="3">
        <v>1826071.11072022</v>
      </c>
      <c r="H1068" t="s">
        <v>825</v>
      </c>
      <c r="I1068" t="s">
        <v>2478</v>
      </c>
      <c r="J1068" t="s">
        <v>2479</v>
      </c>
      <c r="K1068">
        <v>17.21</v>
      </c>
      <c r="L1068">
        <v>2.5049999999999999</v>
      </c>
      <c r="M1068" s="1">
        <v>100</v>
      </c>
      <c r="N1068" s="1" t="s">
        <v>2698</v>
      </c>
    </row>
    <row r="1069" spans="1:14" x14ac:dyDescent="0.25">
      <c r="A1069" t="s">
        <v>2672</v>
      </c>
      <c r="B1069" t="s">
        <v>2104</v>
      </c>
      <c r="C1069" t="s">
        <v>2103</v>
      </c>
      <c r="D1069" s="2">
        <v>2.6797164506822499E-2</v>
      </c>
      <c r="E1069" s="3">
        <v>6505150.9364904501</v>
      </c>
      <c r="H1069" t="s">
        <v>324</v>
      </c>
      <c r="I1069" t="s">
        <v>2481</v>
      </c>
      <c r="J1069" t="s">
        <v>2482</v>
      </c>
      <c r="K1069">
        <v>14.66</v>
      </c>
      <c r="L1069">
        <v>2.5219999999999998</v>
      </c>
      <c r="M1069" s="1">
        <v>100</v>
      </c>
      <c r="N1069" s="1" t="s">
        <v>2698</v>
      </c>
    </row>
    <row r="1070" spans="1:14" x14ac:dyDescent="0.25">
      <c r="A1070" t="s">
        <v>2673</v>
      </c>
      <c r="B1070" t="s">
        <v>2104</v>
      </c>
      <c r="C1070" t="s">
        <v>2103</v>
      </c>
      <c r="D1070" s="2">
        <v>2.8065296140904999E-2</v>
      </c>
      <c r="E1070" s="3">
        <v>4062916.15817795</v>
      </c>
      <c r="H1070" t="s">
        <v>169</v>
      </c>
      <c r="I1070" t="s">
        <v>2485</v>
      </c>
      <c r="J1070" t="s">
        <v>2486</v>
      </c>
      <c r="K1070">
        <v>12.11</v>
      </c>
      <c r="L1070">
        <v>2.609</v>
      </c>
      <c r="M1070" s="1">
        <v>100</v>
      </c>
      <c r="N1070" s="1" t="s">
        <v>2698</v>
      </c>
    </row>
    <row r="1071" spans="1:14" x14ac:dyDescent="0.25">
      <c r="A1071" t="s">
        <v>1788</v>
      </c>
      <c r="B1071" t="s">
        <v>2104</v>
      </c>
      <c r="C1071" t="s">
        <v>2103</v>
      </c>
      <c r="D1071" s="2">
        <v>3.1134929812396898E-2</v>
      </c>
      <c r="E1071" s="3">
        <v>2687019.5813511098</v>
      </c>
      <c r="H1071" t="s">
        <v>82</v>
      </c>
      <c r="I1071" t="s">
        <v>2489</v>
      </c>
      <c r="J1071" t="s">
        <v>2490</v>
      </c>
      <c r="K1071">
        <v>18.489999999999998</v>
      </c>
      <c r="L1071">
        <v>2.6320000000000001</v>
      </c>
      <c r="M1071" s="1">
        <v>100</v>
      </c>
      <c r="N1071" s="1" t="s">
        <v>2698</v>
      </c>
    </row>
    <row r="1072" spans="1:14" x14ac:dyDescent="0.25">
      <c r="A1072" t="s">
        <v>1789</v>
      </c>
      <c r="B1072" t="s">
        <v>2104</v>
      </c>
      <c r="C1072" t="s">
        <v>2103</v>
      </c>
      <c r="D1072" s="2">
        <v>2.67834371087717E-2</v>
      </c>
      <c r="E1072" s="3">
        <v>6447215.8858754802</v>
      </c>
      <c r="H1072" t="s">
        <v>222</v>
      </c>
      <c r="I1072" t="s">
        <v>2493</v>
      </c>
      <c r="J1072" t="s">
        <v>2494</v>
      </c>
      <c r="K1072">
        <v>17.850000000000001</v>
      </c>
      <c r="L1072">
        <v>2.6219999999999999</v>
      </c>
      <c r="M1072" s="1">
        <v>100</v>
      </c>
      <c r="N1072" s="1" t="s">
        <v>2698</v>
      </c>
    </row>
    <row r="1073" spans="1:14" x14ac:dyDescent="0.25">
      <c r="A1073" t="s">
        <v>2674</v>
      </c>
      <c r="B1073" t="s">
        <v>2104</v>
      </c>
      <c r="C1073" t="s">
        <v>2103</v>
      </c>
      <c r="D1073" s="2">
        <v>3.3606099707241197E-2</v>
      </c>
      <c r="E1073" s="3">
        <v>2216607.6440061899</v>
      </c>
      <c r="H1073" t="s">
        <v>198</v>
      </c>
      <c r="I1073" t="s">
        <v>2497</v>
      </c>
      <c r="J1073" t="s">
        <v>1338</v>
      </c>
      <c r="K1073">
        <v>13.39</v>
      </c>
      <c r="L1073">
        <v>2.5219999999999998</v>
      </c>
      <c r="M1073" s="1">
        <v>100</v>
      </c>
      <c r="N1073" s="1" t="s">
        <v>2698</v>
      </c>
    </row>
    <row r="1074" spans="1:14" x14ac:dyDescent="0.25">
      <c r="A1074" t="s">
        <v>2675</v>
      </c>
      <c r="B1074" t="s">
        <v>2104</v>
      </c>
      <c r="C1074" t="s">
        <v>2103</v>
      </c>
      <c r="D1074" s="2">
        <v>4.9511819133496601E-2</v>
      </c>
      <c r="E1074" s="3">
        <v>875202.59282447002</v>
      </c>
      <c r="H1074" t="s">
        <v>546</v>
      </c>
      <c r="I1074" t="s">
        <v>2500</v>
      </c>
      <c r="J1074" t="s">
        <v>2501</v>
      </c>
      <c r="K1074">
        <v>19.760000000000002</v>
      </c>
      <c r="L1074">
        <v>2.468</v>
      </c>
      <c r="M1074" s="1">
        <v>100</v>
      </c>
      <c r="N1074" s="1" t="s">
        <v>2698</v>
      </c>
    </row>
    <row r="1075" spans="1:14" x14ac:dyDescent="0.25">
      <c r="A1075" t="s">
        <v>2676</v>
      </c>
      <c r="B1075" t="s">
        <v>2104</v>
      </c>
      <c r="C1075" t="s">
        <v>2103</v>
      </c>
      <c r="D1075" s="2">
        <v>2.75056029860134E-2</v>
      </c>
      <c r="E1075" s="3">
        <v>4855090.8484592997</v>
      </c>
      <c r="H1075" t="s">
        <v>130</v>
      </c>
      <c r="I1075" t="s">
        <v>2503</v>
      </c>
      <c r="J1075" t="s">
        <v>2496</v>
      </c>
      <c r="K1075">
        <v>15.94</v>
      </c>
      <c r="L1075">
        <v>2.4420000000000002</v>
      </c>
      <c r="M1075" s="1">
        <v>100</v>
      </c>
      <c r="N1075" s="1" t="s">
        <v>2698</v>
      </c>
    </row>
    <row r="1076" spans="1:14" x14ac:dyDescent="0.25">
      <c r="A1076" t="s">
        <v>1794</v>
      </c>
      <c r="B1076" t="s">
        <v>2104</v>
      </c>
      <c r="C1076" t="s">
        <v>2103</v>
      </c>
      <c r="D1076" s="2">
        <v>2.8765902458865698E-2</v>
      </c>
      <c r="E1076" s="3">
        <v>3773320.84597449</v>
      </c>
      <c r="H1076" t="s">
        <v>240</v>
      </c>
      <c r="I1076" t="s">
        <v>764</v>
      </c>
      <c r="J1076" t="s">
        <v>2505</v>
      </c>
      <c r="K1076">
        <v>16.579999999999998</v>
      </c>
      <c r="L1076">
        <v>2.488</v>
      </c>
      <c r="M1076" s="1">
        <v>100</v>
      </c>
      <c r="N1076" s="1" t="s">
        <v>2698</v>
      </c>
    </row>
    <row r="1077" spans="1:14" x14ac:dyDescent="0.25">
      <c r="A1077" t="s">
        <v>1795</v>
      </c>
      <c r="B1077" t="s">
        <v>2104</v>
      </c>
      <c r="C1077" t="s">
        <v>2103</v>
      </c>
      <c r="D1077" s="2">
        <v>2.6889286127359701E-2</v>
      </c>
      <c r="E1077" s="3">
        <v>7156805.0076223798</v>
      </c>
      <c r="H1077" t="s">
        <v>893</v>
      </c>
      <c r="I1077" t="s">
        <v>2506</v>
      </c>
      <c r="J1077" t="s">
        <v>2507</v>
      </c>
      <c r="K1077">
        <v>14.66</v>
      </c>
      <c r="L1077">
        <v>2.5169999999999999</v>
      </c>
      <c r="M1077" s="1">
        <v>100</v>
      </c>
      <c r="N1077" s="1" t="s">
        <v>2698</v>
      </c>
    </row>
    <row r="1078" spans="1:14" x14ac:dyDescent="0.25">
      <c r="A1078" t="s">
        <v>2677</v>
      </c>
      <c r="B1078" t="s">
        <v>2104</v>
      </c>
      <c r="C1078" t="s">
        <v>2103</v>
      </c>
      <c r="D1078" s="2">
        <v>4.51323787218397E-2</v>
      </c>
      <c r="E1078" s="3">
        <v>1024138.4873877401</v>
      </c>
      <c r="H1078" t="s">
        <v>570</v>
      </c>
      <c r="I1078" t="s">
        <v>2509</v>
      </c>
      <c r="J1078" t="s">
        <v>2510</v>
      </c>
      <c r="K1078">
        <v>17.850000000000001</v>
      </c>
      <c r="L1078">
        <v>2.625</v>
      </c>
      <c r="M1078" s="1">
        <v>100</v>
      </c>
      <c r="N1078" s="1" t="s">
        <v>2698</v>
      </c>
    </row>
    <row r="1079" spans="1:14" x14ac:dyDescent="0.25">
      <c r="A1079" t="s">
        <v>2678</v>
      </c>
      <c r="B1079" t="s">
        <v>2104</v>
      </c>
      <c r="C1079" t="s">
        <v>2103</v>
      </c>
      <c r="D1079" s="2">
        <v>2.6965919779679302E-2</v>
      </c>
      <c r="E1079" s="3">
        <v>5348292.56617379</v>
      </c>
      <c r="H1079" t="s">
        <v>136</v>
      </c>
      <c r="I1079" t="s">
        <v>2512</v>
      </c>
      <c r="J1079" t="s">
        <v>2513</v>
      </c>
      <c r="K1079">
        <v>14.66</v>
      </c>
      <c r="L1079">
        <v>2.6349999999999998</v>
      </c>
      <c r="M1079" s="1">
        <v>100</v>
      </c>
      <c r="N1079" s="1" t="s">
        <v>2698</v>
      </c>
    </row>
    <row r="1080" spans="1:14" x14ac:dyDescent="0.25">
      <c r="A1080" t="s">
        <v>2679</v>
      </c>
      <c r="B1080" t="s">
        <v>2104</v>
      </c>
      <c r="C1080" t="s">
        <v>2103</v>
      </c>
      <c r="D1080" s="2">
        <v>2.7285133103070399E-2</v>
      </c>
      <c r="E1080" s="3">
        <v>4926562.1392384795</v>
      </c>
      <c r="H1080" t="s">
        <v>198</v>
      </c>
      <c r="I1080" t="s">
        <v>2515</v>
      </c>
      <c r="J1080" t="s">
        <v>864</v>
      </c>
      <c r="K1080">
        <v>17.21</v>
      </c>
      <c r="L1080">
        <v>2.5379999999999998</v>
      </c>
      <c r="M1080" s="1">
        <v>100</v>
      </c>
      <c r="N1080" s="1" t="s">
        <v>2698</v>
      </c>
    </row>
    <row r="1081" spans="1:14" x14ac:dyDescent="0.25">
      <c r="A1081" t="s">
        <v>1799</v>
      </c>
      <c r="B1081" t="s">
        <v>2104</v>
      </c>
      <c r="C1081" t="s">
        <v>2103</v>
      </c>
      <c r="D1081" s="2">
        <v>6.6447679009271496E-2</v>
      </c>
      <c r="E1081" s="3">
        <v>467993.22129121498</v>
      </c>
      <c r="H1081" t="s">
        <v>275</v>
      </c>
      <c r="I1081" t="s">
        <v>2516</v>
      </c>
      <c r="J1081" t="s">
        <v>2517</v>
      </c>
      <c r="K1081">
        <v>19.760000000000002</v>
      </c>
      <c r="L1081">
        <v>2.4740000000000002</v>
      </c>
      <c r="M1081" s="1">
        <v>100</v>
      </c>
      <c r="N1081" s="1" t="s">
        <v>2698</v>
      </c>
    </row>
    <row r="1082" spans="1:14" x14ac:dyDescent="0.25">
      <c r="A1082" t="s">
        <v>1801</v>
      </c>
      <c r="B1082" t="s">
        <v>2104</v>
      </c>
      <c r="C1082" t="s">
        <v>2103</v>
      </c>
      <c r="D1082" s="2">
        <v>2.6774338905717E-2</v>
      </c>
      <c r="E1082" s="3">
        <v>6619848.2619312704</v>
      </c>
      <c r="H1082" t="s">
        <v>227</v>
      </c>
      <c r="I1082" t="s">
        <v>2522</v>
      </c>
      <c r="J1082" t="s">
        <v>946</v>
      </c>
      <c r="K1082">
        <v>15.94</v>
      </c>
      <c r="L1082">
        <v>2.4119999999999999</v>
      </c>
      <c r="M1082" s="1">
        <v>100</v>
      </c>
      <c r="N1082" s="1" t="s">
        <v>2698</v>
      </c>
    </row>
    <row r="1083" spans="1:14" x14ac:dyDescent="0.25">
      <c r="A1083" t="s">
        <v>1802</v>
      </c>
      <c r="B1083" t="s">
        <v>2104</v>
      </c>
      <c r="C1083" t="s">
        <v>2103</v>
      </c>
      <c r="D1083" s="2">
        <v>2.9211171979026101E-2</v>
      </c>
      <c r="E1083" s="3">
        <v>3588059.5210951902</v>
      </c>
      <c r="H1083" t="s">
        <v>124</v>
      </c>
      <c r="I1083" t="s">
        <v>2525</v>
      </c>
      <c r="J1083" t="s">
        <v>2526</v>
      </c>
      <c r="K1083">
        <v>15.3</v>
      </c>
      <c r="L1083">
        <v>2.4670000000000001</v>
      </c>
      <c r="M1083" s="1">
        <v>100</v>
      </c>
      <c r="N1083" s="1" t="s">
        <v>2698</v>
      </c>
    </row>
    <row r="1084" spans="1:14" x14ac:dyDescent="0.25">
      <c r="A1084" t="s">
        <v>2077</v>
      </c>
      <c r="B1084" t="s">
        <v>2104</v>
      </c>
      <c r="C1084" t="s">
        <v>2103</v>
      </c>
      <c r="D1084" s="2">
        <v>2.8713029233312801E-2</v>
      </c>
      <c r="E1084" s="3">
        <v>3749641.6325900299</v>
      </c>
      <c r="H1084" t="s">
        <v>150</v>
      </c>
      <c r="I1084" t="s">
        <v>2529</v>
      </c>
      <c r="J1084" t="s">
        <v>2530</v>
      </c>
      <c r="K1084">
        <v>19.760000000000002</v>
      </c>
      <c r="L1084">
        <v>2.5379999999999998</v>
      </c>
      <c r="M1084" s="1">
        <v>100</v>
      </c>
      <c r="N1084" s="1" t="s">
        <v>2698</v>
      </c>
    </row>
    <row r="1085" spans="1:14" x14ac:dyDescent="0.25">
      <c r="A1085" t="s">
        <v>2680</v>
      </c>
      <c r="B1085" t="s">
        <v>2104</v>
      </c>
      <c r="C1085" t="s">
        <v>2103</v>
      </c>
      <c r="D1085" s="2">
        <v>4.53207044939078E-2</v>
      </c>
      <c r="E1085" s="3">
        <v>1017403.96629994</v>
      </c>
      <c r="H1085" t="s">
        <v>259</v>
      </c>
      <c r="I1085" t="s">
        <v>550</v>
      </c>
      <c r="J1085" t="s">
        <v>2533</v>
      </c>
      <c r="K1085">
        <v>12.75</v>
      </c>
      <c r="L1085">
        <v>2.61</v>
      </c>
      <c r="M1085" s="1">
        <v>100</v>
      </c>
      <c r="N1085" s="1" t="s">
        <v>2698</v>
      </c>
    </row>
    <row r="1086" spans="1:14" x14ac:dyDescent="0.25">
      <c r="A1086" t="s">
        <v>1945</v>
      </c>
      <c r="B1086" t="s">
        <v>2104</v>
      </c>
      <c r="C1086" t="s">
        <v>2103</v>
      </c>
      <c r="D1086" s="2">
        <v>2.7275397328171198E-2</v>
      </c>
      <c r="E1086" s="3">
        <v>7867344.4378665499</v>
      </c>
      <c r="H1086" t="s">
        <v>76</v>
      </c>
      <c r="I1086" t="s">
        <v>2535</v>
      </c>
      <c r="J1086" t="s">
        <v>2536</v>
      </c>
      <c r="K1086">
        <v>14.03</v>
      </c>
      <c r="L1086">
        <v>2.5979999999999999</v>
      </c>
      <c r="M1086" s="1">
        <v>100</v>
      </c>
      <c r="N1086" s="1" t="s">
        <v>2698</v>
      </c>
    </row>
    <row r="1087" spans="1:14" x14ac:dyDescent="0.25">
      <c r="A1087" t="s">
        <v>1946</v>
      </c>
      <c r="B1087" t="s">
        <v>2104</v>
      </c>
      <c r="C1087" t="s">
        <v>2103</v>
      </c>
      <c r="D1087" s="2">
        <v>3.0177691095825802E-2</v>
      </c>
      <c r="E1087" s="3">
        <v>3144248.9585828399</v>
      </c>
      <c r="H1087" t="s">
        <v>984</v>
      </c>
      <c r="I1087" t="s">
        <v>2537</v>
      </c>
      <c r="J1087" t="s">
        <v>2538</v>
      </c>
      <c r="K1087">
        <v>19.760000000000002</v>
      </c>
      <c r="L1087">
        <v>2.516</v>
      </c>
      <c r="M1087" s="1">
        <v>100</v>
      </c>
      <c r="N1087" s="1" t="s">
        <v>2698</v>
      </c>
    </row>
    <row r="1088" spans="1:14" x14ac:dyDescent="0.25">
      <c r="A1088" t="s">
        <v>2681</v>
      </c>
      <c r="B1088" t="s">
        <v>2104</v>
      </c>
      <c r="C1088" t="s">
        <v>2103</v>
      </c>
      <c r="D1088" s="2">
        <v>4.8050981851189299E-2</v>
      </c>
      <c r="E1088" s="3">
        <v>949718.57818283595</v>
      </c>
      <c r="H1088" t="s">
        <v>82</v>
      </c>
      <c r="I1088" t="s">
        <v>2541</v>
      </c>
      <c r="J1088" t="s">
        <v>1342</v>
      </c>
      <c r="K1088">
        <v>16.579999999999998</v>
      </c>
      <c r="L1088">
        <v>2.4319999999999999</v>
      </c>
      <c r="M1088" s="1">
        <v>100</v>
      </c>
      <c r="N1088" s="1" t="s">
        <v>2698</v>
      </c>
    </row>
    <row r="1089" spans="1:14" x14ac:dyDescent="0.25">
      <c r="A1089" t="s">
        <v>2682</v>
      </c>
      <c r="B1089" t="s">
        <v>2104</v>
      </c>
      <c r="C1089" t="s">
        <v>2103</v>
      </c>
      <c r="D1089" s="2">
        <v>3.6155069098061897E-2</v>
      </c>
      <c r="E1089" s="3">
        <v>15221547.9095257</v>
      </c>
      <c r="H1089" t="s">
        <v>124</v>
      </c>
      <c r="I1089" t="s">
        <v>2542</v>
      </c>
      <c r="J1089" t="s">
        <v>962</v>
      </c>
      <c r="K1089">
        <v>17.850000000000001</v>
      </c>
      <c r="L1089">
        <v>2.4329999999999998</v>
      </c>
      <c r="M1089" s="1">
        <v>100</v>
      </c>
      <c r="N1089" s="1" t="s">
        <v>2698</v>
      </c>
    </row>
    <row r="1090" spans="1:14" x14ac:dyDescent="0.25">
      <c r="A1090" t="s">
        <v>1950</v>
      </c>
      <c r="B1090" t="s">
        <v>2104</v>
      </c>
      <c r="C1090" t="s">
        <v>2103</v>
      </c>
      <c r="D1090" s="2">
        <v>2.7430126568642299E-2</v>
      </c>
      <c r="E1090" s="3">
        <v>8691268.5921112299</v>
      </c>
      <c r="H1090" t="s">
        <v>76</v>
      </c>
      <c r="I1090" t="s">
        <v>582</v>
      </c>
      <c r="J1090" t="s">
        <v>581</v>
      </c>
      <c r="K1090">
        <v>19.760000000000002</v>
      </c>
      <c r="L1090">
        <v>2.4300000000000002</v>
      </c>
      <c r="M1090" s="1">
        <v>100</v>
      </c>
      <c r="N1090" s="1" t="s">
        <v>2698</v>
      </c>
    </row>
    <row r="1091" spans="1:14" x14ac:dyDescent="0.25">
      <c r="A1091" t="s">
        <v>2683</v>
      </c>
      <c r="B1091" t="s">
        <v>2104</v>
      </c>
      <c r="C1091" t="s">
        <v>2103</v>
      </c>
      <c r="D1091" s="2">
        <v>2.77977518973807E-2</v>
      </c>
      <c r="E1091" s="3">
        <v>9155294.4274211992</v>
      </c>
      <c r="H1091" t="s">
        <v>284</v>
      </c>
      <c r="I1091" t="s">
        <v>2547</v>
      </c>
      <c r="J1091" t="s">
        <v>2548</v>
      </c>
      <c r="K1091">
        <v>16.579999999999998</v>
      </c>
      <c r="L1091">
        <v>2.4580000000000002</v>
      </c>
      <c r="M1091" s="1">
        <v>100</v>
      </c>
      <c r="N1091" s="1" t="s">
        <v>2698</v>
      </c>
    </row>
    <row r="1092" spans="1:14" x14ac:dyDescent="0.25">
      <c r="A1092" t="s">
        <v>2684</v>
      </c>
      <c r="B1092" t="s">
        <v>2104</v>
      </c>
      <c r="C1092" t="s">
        <v>2103</v>
      </c>
      <c r="D1092" s="2">
        <v>3.1564366293647901E-2</v>
      </c>
      <c r="E1092" s="3">
        <v>12307307.796641599</v>
      </c>
      <c r="H1092" t="s">
        <v>324</v>
      </c>
      <c r="I1092" t="s">
        <v>762</v>
      </c>
      <c r="J1092" t="s">
        <v>761</v>
      </c>
      <c r="K1092">
        <v>19.760000000000002</v>
      </c>
      <c r="L1092">
        <v>2.5009999999999999</v>
      </c>
      <c r="M1092" s="1">
        <v>100</v>
      </c>
      <c r="N1092" s="1" t="s">
        <v>2698</v>
      </c>
    </row>
    <row r="1093" spans="1:14" x14ac:dyDescent="0.25">
      <c r="A1093" t="s">
        <v>1953</v>
      </c>
      <c r="B1093" t="s">
        <v>2104</v>
      </c>
      <c r="C1093" t="s">
        <v>2103</v>
      </c>
      <c r="D1093" s="2">
        <v>3.5384845307177899E-2</v>
      </c>
      <c r="E1093" s="3">
        <v>1890550.0915202999</v>
      </c>
      <c r="H1093" t="s">
        <v>183</v>
      </c>
      <c r="I1093" t="s">
        <v>2553</v>
      </c>
      <c r="J1093" t="s">
        <v>2554</v>
      </c>
      <c r="K1093">
        <v>19.760000000000002</v>
      </c>
      <c r="L1093">
        <v>2.6139999999999999</v>
      </c>
      <c r="M1093" s="1">
        <v>100</v>
      </c>
      <c r="N1093" s="1" t="s">
        <v>2698</v>
      </c>
    </row>
    <row r="1094" spans="1:14" x14ac:dyDescent="0.25">
      <c r="A1094" t="s">
        <v>2685</v>
      </c>
      <c r="B1094" t="s">
        <v>2104</v>
      </c>
      <c r="C1094" t="s">
        <v>2103</v>
      </c>
      <c r="D1094" s="2">
        <v>3.2504314985446398E-2</v>
      </c>
      <c r="E1094" s="3">
        <v>2345826.9185310202</v>
      </c>
      <c r="H1094" t="s">
        <v>150</v>
      </c>
      <c r="I1094" t="s">
        <v>2557</v>
      </c>
      <c r="J1094" t="s">
        <v>2558</v>
      </c>
      <c r="K1094">
        <v>12.11</v>
      </c>
      <c r="L1094">
        <v>2.6320000000000001</v>
      </c>
      <c r="M1094" s="1">
        <v>100</v>
      </c>
      <c r="N1094" s="1" t="s">
        <v>2698</v>
      </c>
    </row>
    <row r="1095" spans="1:14" x14ac:dyDescent="0.25">
      <c r="A1095" t="s">
        <v>1955</v>
      </c>
      <c r="B1095" t="s">
        <v>2104</v>
      </c>
      <c r="C1095" t="s">
        <v>2103</v>
      </c>
      <c r="D1095" s="2">
        <v>4.4706194831112003E-2</v>
      </c>
      <c r="E1095" s="3">
        <v>17566106.961451501</v>
      </c>
      <c r="H1095" t="s">
        <v>169</v>
      </c>
      <c r="I1095" t="s">
        <v>820</v>
      </c>
      <c r="J1095" t="s">
        <v>2561</v>
      </c>
      <c r="K1095">
        <v>16.579999999999998</v>
      </c>
      <c r="L1095">
        <v>2.5659999999999998</v>
      </c>
      <c r="M1095" s="1">
        <v>100</v>
      </c>
      <c r="N1095" s="1" t="s">
        <v>2698</v>
      </c>
    </row>
    <row r="1096" spans="1:14" x14ac:dyDescent="0.25">
      <c r="A1096" t="s">
        <v>1956</v>
      </c>
      <c r="B1096" t="s">
        <v>2104</v>
      </c>
      <c r="C1096" t="s">
        <v>2103</v>
      </c>
      <c r="D1096" s="2">
        <v>2.68934780698151E-2</v>
      </c>
      <c r="E1096" s="3">
        <v>5865800.1240364499</v>
      </c>
      <c r="H1096" t="s">
        <v>198</v>
      </c>
      <c r="I1096" t="s">
        <v>2563</v>
      </c>
      <c r="J1096" t="s">
        <v>154</v>
      </c>
      <c r="K1096">
        <v>19.760000000000002</v>
      </c>
      <c r="L1096">
        <v>2.4660000000000002</v>
      </c>
      <c r="M1096" s="1">
        <v>100</v>
      </c>
      <c r="N1096" s="1" t="s">
        <v>2698</v>
      </c>
    </row>
    <row r="1097" spans="1:14" x14ac:dyDescent="0.25">
      <c r="A1097" t="s">
        <v>1958</v>
      </c>
      <c r="B1097" t="s">
        <v>2104</v>
      </c>
      <c r="C1097" t="s">
        <v>2103</v>
      </c>
      <c r="D1097" s="2">
        <v>2.75599193600751E-2</v>
      </c>
      <c r="E1097" s="3">
        <v>8768233.1335173603</v>
      </c>
      <c r="H1097" t="s">
        <v>38</v>
      </c>
      <c r="I1097" t="s">
        <v>2565</v>
      </c>
      <c r="J1097" t="s">
        <v>2566</v>
      </c>
      <c r="K1097">
        <v>13.39</v>
      </c>
      <c r="L1097">
        <v>2.4830000000000001</v>
      </c>
      <c r="M1097" s="1">
        <v>100</v>
      </c>
      <c r="N1097" s="1" t="s">
        <v>2698</v>
      </c>
    </row>
    <row r="1098" spans="1:14" x14ac:dyDescent="0.25">
      <c r="A1098" t="s">
        <v>1959</v>
      </c>
      <c r="B1098" t="s">
        <v>2104</v>
      </c>
      <c r="C1098" t="s">
        <v>2103</v>
      </c>
      <c r="D1098" s="2">
        <v>3.9265380370661102E-2</v>
      </c>
      <c r="E1098" s="3">
        <v>1529525.6734412301</v>
      </c>
      <c r="H1098" t="s">
        <v>670</v>
      </c>
      <c r="I1098" t="s">
        <v>2569</v>
      </c>
      <c r="J1098" t="s">
        <v>2570</v>
      </c>
      <c r="K1098">
        <v>15.94</v>
      </c>
      <c r="L1098">
        <v>2.4489999999999998</v>
      </c>
      <c r="M1098" s="1">
        <v>100</v>
      </c>
      <c r="N1098" s="1" t="s">
        <v>2698</v>
      </c>
    </row>
    <row r="1099" spans="1:14" x14ac:dyDescent="0.25">
      <c r="A1099" t="s">
        <v>1960</v>
      </c>
      <c r="B1099" t="s">
        <v>2104</v>
      </c>
      <c r="C1099" t="s">
        <v>2103</v>
      </c>
      <c r="D1099" s="2">
        <v>3.6594104146225701E-2</v>
      </c>
      <c r="E1099" s="3">
        <v>1829139.10618285</v>
      </c>
      <c r="H1099" t="s">
        <v>508</v>
      </c>
      <c r="I1099" t="s">
        <v>2573</v>
      </c>
      <c r="J1099" t="s">
        <v>2574</v>
      </c>
      <c r="K1099">
        <v>17.21</v>
      </c>
      <c r="L1099">
        <v>2.464</v>
      </c>
      <c r="M1099" s="1">
        <v>100</v>
      </c>
      <c r="N1099" s="1" t="s">
        <v>2698</v>
      </c>
    </row>
    <row r="1100" spans="1:14" x14ac:dyDescent="0.25">
      <c r="A1100" t="s">
        <v>1961</v>
      </c>
      <c r="B1100" t="s">
        <v>2104</v>
      </c>
      <c r="C1100" t="s">
        <v>2103</v>
      </c>
      <c r="D1100" s="2">
        <v>7.2077306982204395E-2</v>
      </c>
      <c r="E1100" s="3">
        <v>381445.27184358699</v>
      </c>
      <c r="H1100" t="s">
        <v>91</v>
      </c>
      <c r="I1100" t="s">
        <v>2418</v>
      </c>
      <c r="J1100" t="s">
        <v>339</v>
      </c>
      <c r="K1100">
        <v>18.489999999999998</v>
      </c>
      <c r="L1100">
        <v>2.5150000000000001</v>
      </c>
      <c r="M1100" s="1">
        <v>100</v>
      </c>
      <c r="N1100" s="1" t="s">
        <v>2698</v>
      </c>
    </row>
    <row r="1101" spans="1:14" x14ac:dyDescent="0.25">
      <c r="A1101" t="s">
        <v>2686</v>
      </c>
      <c r="B1101" t="s">
        <v>2104</v>
      </c>
      <c r="C1101" t="s">
        <v>2103</v>
      </c>
      <c r="D1101" s="2">
        <v>2.7663491399631601E-2</v>
      </c>
      <c r="E1101" s="3">
        <v>4355756.1708289003</v>
      </c>
      <c r="H1101" t="s">
        <v>130</v>
      </c>
      <c r="I1101" t="s">
        <v>990</v>
      </c>
      <c r="J1101" t="s">
        <v>2579</v>
      </c>
      <c r="K1101">
        <v>14.03</v>
      </c>
      <c r="L1101">
        <v>2.6269999999999998</v>
      </c>
      <c r="M1101" s="1">
        <v>100</v>
      </c>
      <c r="N1101" s="1" t="s">
        <v>2698</v>
      </c>
    </row>
    <row r="1102" spans="1:14" x14ac:dyDescent="0.25">
      <c r="A1102" t="s">
        <v>1963</v>
      </c>
      <c r="B1102" t="s">
        <v>2104</v>
      </c>
      <c r="C1102" t="s">
        <v>2103</v>
      </c>
      <c r="D1102" s="2">
        <v>2.70138962602809E-2</v>
      </c>
      <c r="E1102" s="3">
        <v>5245844.8656639596</v>
      </c>
      <c r="H1102" t="s">
        <v>71</v>
      </c>
      <c r="I1102" t="s">
        <v>2582</v>
      </c>
      <c r="J1102" t="s">
        <v>2583</v>
      </c>
      <c r="K1102">
        <v>14.03</v>
      </c>
      <c r="L1102">
        <v>2.6219999999999999</v>
      </c>
      <c r="M1102" s="1">
        <v>100</v>
      </c>
      <c r="N1102" s="1" t="s">
        <v>2698</v>
      </c>
    </row>
    <row r="1103" spans="1:14" x14ac:dyDescent="0.25">
      <c r="A1103" t="s">
        <v>1965</v>
      </c>
      <c r="B1103" t="s">
        <v>2104</v>
      </c>
      <c r="C1103" t="s">
        <v>2103</v>
      </c>
      <c r="D1103" s="2">
        <v>2.75552468056364E-2</v>
      </c>
      <c r="E1103" s="3">
        <v>8788613.1177318692</v>
      </c>
      <c r="H1103" t="s">
        <v>56</v>
      </c>
      <c r="I1103" t="s">
        <v>2586</v>
      </c>
      <c r="J1103" t="s">
        <v>2587</v>
      </c>
      <c r="K1103">
        <v>15.3</v>
      </c>
      <c r="L1103">
        <v>2.4660000000000002</v>
      </c>
      <c r="M1103" s="1">
        <v>100</v>
      </c>
      <c r="N1103" s="1" t="s">
        <v>2698</v>
      </c>
    </row>
    <row r="1104" spans="1:14" x14ac:dyDescent="0.25">
      <c r="A1104" t="s">
        <v>1966</v>
      </c>
      <c r="B1104" t="s">
        <v>2104</v>
      </c>
      <c r="C1104" t="s">
        <v>2103</v>
      </c>
      <c r="D1104" s="2">
        <v>2.78572901992933E-2</v>
      </c>
      <c r="E1104" s="3">
        <v>4436366.9267586498</v>
      </c>
      <c r="H1104" t="s">
        <v>150</v>
      </c>
      <c r="I1104" t="s">
        <v>1454</v>
      </c>
      <c r="J1104" t="s">
        <v>2590</v>
      </c>
      <c r="K1104">
        <v>12.11</v>
      </c>
      <c r="L1104">
        <v>2.4820000000000002</v>
      </c>
      <c r="M1104" s="1">
        <v>100</v>
      </c>
      <c r="N1104" s="1" t="s">
        <v>2698</v>
      </c>
    </row>
    <row r="1105" spans="1:14" x14ac:dyDescent="0.25">
      <c r="A1105" t="s">
        <v>2687</v>
      </c>
      <c r="B1105" t="s">
        <v>2104</v>
      </c>
      <c r="C1105" t="s">
        <v>2103</v>
      </c>
      <c r="D1105" s="2">
        <v>2.9467169909749302E-2</v>
      </c>
      <c r="E1105" s="3">
        <v>3446608.9316681698</v>
      </c>
      <c r="H1105" t="s">
        <v>130</v>
      </c>
      <c r="I1105" t="s">
        <v>2422</v>
      </c>
      <c r="J1105" t="s">
        <v>373</v>
      </c>
      <c r="K1105">
        <v>12.75</v>
      </c>
      <c r="L1105">
        <v>2.4830000000000001</v>
      </c>
      <c r="M1105" s="1">
        <v>100</v>
      </c>
      <c r="N1105" s="1" t="s">
        <v>2698</v>
      </c>
    </row>
    <row r="1106" spans="1:14" x14ac:dyDescent="0.25">
      <c r="A1106" t="s">
        <v>1968</v>
      </c>
      <c r="B1106" t="s">
        <v>2104</v>
      </c>
      <c r="C1106" t="s">
        <v>2103</v>
      </c>
      <c r="D1106" s="2">
        <v>2.6820384915279299E-2</v>
      </c>
      <c r="E1106" s="3">
        <v>6269648.71527314</v>
      </c>
      <c r="H1106" t="s">
        <v>56</v>
      </c>
      <c r="I1106" t="s">
        <v>2595</v>
      </c>
      <c r="J1106" t="s">
        <v>2596</v>
      </c>
      <c r="K1106">
        <v>11.48</v>
      </c>
      <c r="L1106">
        <v>2.4329999999999998</v>
      </c>
      <c r="M1106" s="1">
        <v>100</v>
      </c>
      <c r="N1106" s="1" t="s">
        <v>2698</v>
      </c>
    </row>
    <row r="1107" spans="1:14" x14ac:dyDescent="0.25">
      <c r="A1107" t="s">
        <v>1970</v>
      </c>
      <c r="B1107" t="s">
        <v>2104</v>
      </c>
      <c r="C1107" t="s">
        <v>2103</v>
      </c>
      <c r="D1107" s="2">
        <v>2.7214390085885099E-2</v>
      </c>
      <c r="E1107" s="3">
        <v>5114499.4567269301</v>
      </c>
      <c r="H1107" t="s">
        <v>893</v>
      </c>
      <c r="I1107" t="s">
        <v>2599</v>
      </c>
      <c r="J1107" t="s">
        <v>25</v>
      </c>
      <c r="K1107">
        <v>15.3</v>
      </c>
      <c r="L1107">
        <v>2.5009999999999999</v>
      </c>
      <c r="M1107" s="1">
        <v>100</v>
      </c>
      <c r="N1107" s="1" t="s">
        <v>2698</v>
      </c>
    </row>
    <row r="1108" spans="1:14" x14ac:dyDescent="0.25">
      <c r="A1108" t="s">
        <v>1971</v>
      </c>
      <c r="B1108" t="s">
        <v>2104</v>
      </c>
      <c r="C1108" t="s">
        <v>2103</v>
      </c>
      <c r="D1108" s="2">
        <v>3.8646536667541899E-2</v>
      </c>
      <c r="E1108" s="3">
        <v>14962707.9820587</v>
      </c>
      <c r="H1108" t="s">
        <v>130</v>
      </c>
      <c r="I1108" t="s">
        <v>2602</v>
      </c>
      <c r="J1108" t="s">
        <v>2603</v>
      </c>
      <c r="K1108">
        <v>14.66</v>
      </c>
      <c r="L1108">
        <v>2.6549999999999998</v>
      </c>
      <c r="M1108" s="1">
        <v>100</v>
      </c>
      <c r="N1108" s="1" t="s">
        <v>2698</v>
      </c>
    </row>
    <row r="1109" spans="1:14" x14ac:dyDescent="0.25">
      <c r="A1109" t="s">
        <v>1972</v>
      </c>
      <c r="B1109" t="s">
        <v>2104</v>
      </c>
      <c r="C1109" t="s">
        <v>2103</v>
      </c>
      <c r="D1109" s="2">
        <v>2.84132242983491E-2</v>
      </c>
      <c r="E1109" s="3">
        <v>3762987.6821737899</v>
      </c>
      <c r="H1109" t="s">
        <v>17</v>
      </c>
      <c r="I1109" t="s">
        <v>2605</v>
      </c>
      <c r="J1109" t="s">
        <v>2606</v>
      </c>
      <c r="K1109">
        <v>12.75</v>
      </c>
      <c r="L1109">
        <v>2.649</v>
      </c>
      <c r="M1109" s="1">
        <v>100</v>
      </c>
      <c r="N1109" s="1" t="s">
        <v>2698</v>
      </c>
    </row>
    <row r="1110" spans="1:14" x14ac:dyDescent="0.25">
      <c r="A1110" t="s">
        <v>1609</v>
      </c>
      <c r="B1110" t="s">
        <v>2105</v>
      </c>
      <c r="C1110" t="s">
        <v>3362</v>
      </c>
      <c r="D1110" s="2" t="s">
        <v>20</v>
      </c>
      <c r="E1110" s="3">
        <v>0</v>
      </c>
      <c r="F1110" s="3">
        <f>E1110/6</f>
        <v>0</v>
      </c>
      <c r="G1110" s="3">
        <f t="shared" ref="G1110:G1141" si="6">F1110/2</f>
        <v>0</v>
      </c>
      <c r="H1110" t="s">
        <v>56</v>
      </c>
      <c r="I1110" t="s">
        <v>201</v>
      </c>
      <c r="J1110" t="s">
        <v>56</v>
      </c>
      <c r="K1110">
        <v>9.18</v>
      </c>
      <c r="L1110">
        <v>2.5289999999999999</v>
      </c>
      <c r="M1110" s="1" t="s">
        <v>20</v>
      </c>
      <c r="N1110" s="1" t="s">
        <v>2698</v>
      </c>
    </row>
    <row r="1111" spans="1:14" x14ac:dyDescent="0.25">
      <c r="A1111" t="s">
        <v>2102</v>
      </c>
      <c r="B1111" t="s">
        <v>2105</v>
      </c>
      <c r="C1111" t="s">
        <v>3362</v>
      </c>
      <c r="D1111" s="2" t="s">
        <v>20</v>
      </c>
      <c r="E1111" s="3">
        <v>0</v>
      </c>
      <c r="F1111" s="3">
        <f>E1111/6</f>
        <v>0</v>
      </c>
      <c r="G1111" s="3">
        <f t="shared" si="6"/>
        <v>0</v>
      </c>
      <c r="H1111" t="s">
        <v>124</v>
      </c>
      <c r="I1111" t="s">
        <v>201</v>
      </c>
      <c r="J1111" t="s">
        <v>124</v>
      </c>
      <c r="K1111">
        <v>7.91</v>
      </c>
      <c r="L1111">
        <v>2.5920000000000001</v>
      </c>
      <c r="M1111" s="1" t="s">
        <v>20</v>
      </c>
      <c r="N1111" s="1" t="s">
        <v>2698</v>
      </c>
    </row>
    <row r="1112" spans="1:14" x14ac:dyDescent="0.25">
      <c r="A1112" t="s">
        <v>3360</v>
      </c>
      <c r="B1112" t="s">
        <v>2105</v>
      </c>
      <c r="C1112" t="s">
        <v>3362</v>
      </c>
      <c r="D1112" s="2">
        <v>4.1383061812448399E-2</v>
      </c>
      <c r="E1112" s="3">
        <v>12692225.3735024</v>
      </c>
      <c r="F1112" s="3">
        <f>E1112/6</f>
        <v>2115370.8955837335</v>
      </c>
      <c r="G1112" s="3">
        <f t="shared" si="6"/>
        <v>1057685.4477918667</v>
      </c>
      <c r="H1112" t="s">
        <v>32</v>
      </c>
      <c r="I1112" t="s">
        <v>2655</v>
      </c>
      <c r="J1112" t="s">
        <v>2656</v>
      </c>
      <c r="K1112">
        <v>8.2899999999999991</v>
      </c>
      <c r="L1112">
        <v>2.6019999999999999</v>
      </c>
      <c r="M1112" s="1">
        <v>1000</v>
      </c>
      <c r="N1112" s="1" t="s">
        <v>2698</v>
      </c>
    </row>
    <row r="1113" spans="1:14" x14ac:dyDescent="0.25">
      <c r="A1113" t="s">
        <v>3357</v>
      </c>
      <c r="B1113" t="s">
        <v>2105</v>
      </c>
      <c r="C1113" t="s">
        <v>3362</v>
      </c>
      <c r="D1113" s="2" t="s">
        <v>20</v>
      </c>
      <c r="E1113" s="3">
        <v>0</v>
      </c>
      <c r="F1113" s="3">
        <f>E1113/6</f>
        <v>0</v>
      </c>
      <c r="G1113" s="3">
        <f t="shared" si="6"/>
        <v>0</v>
      </c>
      <c r="H1113" t="s">
        <v>284</v>
      </c>
      <c r="I1113" t="s">
        <v>201</v>
      </c>
      <c r="J1113" t="s">
        <v>284</v>
      </c>
      <c r="K1113">
        <v>9.18</v>
      </c>
      <c r="L1113">
        <v>2.5910000000000002</v>
      </c>
      <c r="M1113" s="1">
        <v>1000</v>
      </c>
      <c r="N1113" s="1" t="s">
        <v>2698</v>
      </c>
    </row>
    <row r="1114" spans="1:14" x14ac:dyDescent="0.25">
      <c r="A1114" t="s">
        <v>3356</v>
      </c>
      <c r="B1114" t="s">
        <v>2105</v>
      </c>
      <c r="C1114" t="s">
        <v>3362</v>
      </c>
      <c r="D1114" s="2">
        <v>3.4317485483846201E-2</v>
      </c>
      <c r="E1114" s="3">
        <v>20355846.9173932</v>
      </c>
      <c r="F1114" s="3">
        <f>E1114/6</f>
        <v>3392641.1528988667</v>
      </c>
      <c r="G1114" s="3">
        <f t="shared" si="6"/>
        <v>1696320.5764494333</v>
      </c>
      <c r="H1114" t="s">
        <v>133</v>
      </c>
      <c r="I1114" t="s">
        <v>2652</v>
      </c>
      <c r="J1114" t="s">
        <v>2653</v>
      </c>
      <c r="K1114">
        <v>9.56</v>
      </c>
      <c r="L1114">
        <v>2.5960000000000001</v>
      </c>
      <c r="M1114" s="1">
        <v>1000</v>
      </c>
      <c r="N1114" s="1" t="s">
        <v>2698</v>
      </c>
    </row>
    <row r="1115" spans="1:14" x14ac:dyDescent="0.25">
      <c r="A1115" t="s">
        <v>10</v>
      </c>
      <c r="B1115" t="s">
        <v>2105</v>
      </c>
      <c r="C1115" t="s">
        <v>3362</v>
      </c>
      <c r="D1115" s="2" t="s">
        <v>20</v>
      </c>
      <c r="E1115" s="3" t="s">
        <v>20</v>
      </c>
      <c r="G1115" s="3">
        <f t="shared" si="6"/>
        <v>0</v>
      </c>
      <c r="H1115" t="s">
        <v>115</v>
      </c>
      <c r="I1115" t="s">
        <v>201</v>
      </c>
      <c r="J1115" t="s">
        <v>115</v>
      </c>
      <c r="K1115">
        <v>9.18</v>
      </c>
      <c r="L1115">
        <v>2.645</v>
      </c>
      <c r="M1115" s="1" t="s">
        <v>20</v>
      </c>
      <c r="N1115" s="1" t="s">
        <v>2698</v>
      </c>
    </row>
    <row r="1116" spans="1:14" x14ac:dyDescent="0.25">
      <c r="A1116" t="s">
        <v>1649</v>
      </c>
      <c r="B1116" t="s">
        <v>2105</v>
      </c>
      <c r="C1116" t="s">
        <v>3362</v>
      </c>
      <c r="D1116" s="2">
        <v>5.4827740370388803E-2</v>
      </c>
      <c r="E1116" s="3">
        <v>648851.122290681</v>
      </c>
      <c r="F1116" s="3">
        <f t="shared" ref="F1116:F1147" si="7">E1116/6</f>
        <v>108141.8537151135</v>
      </c>
      <c r="G1116" s="3">
        <f t="shared" si="6"/>
        <v>54070.926857556748</v>
      </c>
      <c r="H1116" t="s">
        <v>82</v>
      </c>
      <c r="I1116" t="s">
        <v>835</v>
      </c>
      <c r="J1116" t="s">
        <v>653</v>
      </c>
      <c r="K1116">
        <v>12.11</v>
      </c>
      <c r="L1116">
        <v>2.6539999999999999</v>
      </c>
      <c r="M1116" s="1">
        <v>100</v>
      </c>
      <c r="N1116" s="1" t="s">
        <v>2698</v>
      </c>
    </row>
    <row r="1117" spans="1:14" x14ac:dyDescent="0.25">
      <c r="A1117" t="s">
        <v>2657</v>
      </c>
      <c r="B1117" t="s">
        <v>2105</v>
      </c>
      <c r="C1117" t="s">
        <v>3362</v>
      </c>
      <c r="D1117" s="2">
        <v>3.2298010014364303E-2</v>
      </c>
      <c r="E1117" s="3">
        <v>2328962.5386105101</v>
      </c>
      <c r="F1117" s="3">
        <f t="shared" si="7"/>
        <v>388160.42310175166</v>
      </c>
      <c r="G1117" s="3">
        <f t="shared" si="6"/>
        <v>194080.21155087583</v>
      </c>
      <c r="H1117" t="s">
        <v>162</v>
      </c>
      <c r="I1117" t="s">
        <v>2407</v>
      </c>
      <c r="J1117" t="s">
        <v>2408</v>
      </c>
      <c r="K1117">
        <v>13.39</v>
      </c>
      <c r="L1117">
        <v>2.6960000000000002</v>
      </c>
      <c r="M1117" s="1">
        <v>100</v>
      </c>
      <c r="N1117" s="1" t="s">
        <v>2698</v>
      </c>
    </row>
    <row r="1118" spans="1:14" x14ac:dyDescent="0.25">
      <c r="A1118" t="s">
        <v>2658</v>
      </c>
      <c r="B1118" t="s">
        <v>2105</v>
      </c>
      <c r="C1118" t="s">
        <v>3362</v>
      </c>
      <c r="D1118" s="2">
        <v>2.69267148252521E-2</v>
      </c>
      <c r="E1118" s="3">
        <v>5376037.7256584996</v>
      </c>
      <c r="F1118" s="3">
        <f t="shared" si="7"/>
        <v>896006.28760974994</v>
      </c>
      <c r="G1118" s="3">
        <f t="shared" si="6"/>
        <v>448003.14380487497</v>
      </c>
      <c r="H1118" t="s">
        <v>62</v>
      </c>
      <c r="I1118" t="s">
        <v>2410</v>
      </c>
      <c r="J1118" t="s">
        <v>2411</v>
      </c>
      <c r="K1118">
        <v>15.94</v>
      </c>
      <c r="L1118">
        <v>2.67</v>
      </c>
      <c r="M1118" s="1">
        <v>100</v>
      </c>
      <c r="N1118" s="1" t="s">
        <v>2698</v>
      </c>
    </row>
    <row r="1119" spans="1:14" x14ac:dyDescent="0.25">
      <c r="A1119" t="s">
        <v>2659</v>
      </c>
      <c r="B1119" t="s">
        <v>2105</v>
      </c>
      <c r="C1119" t="s">
        <v>3362</v>
      </c>
      <c r="D1119" s="2">
        <v>3.0216758260617801E-2</v>
      </c>
      <c r="E1119" s="3">
        <v>2889386.41054251</v>
      </c>
      <c r="F1119" s="3">
        <f t="shared" si="7"/>
        <v>481564.401757085</v>
      </c>
      <c r="G1119" s="3">
        <f t="shared" si="6"/>
        <v>240782.2008785425</v>
      </c>
      <c r="H1119" t="s">
        <v>56</v>
      </c>
      <c r="I1119" t="s">
        <v>2412</v>
      </c>
      <c r="J1119" t="s">
        <v>2413</v>
      </c>
      <c r="K1119">
        <v>14.66</v>
      </c>
      <c r="L1119">
        <v>2.6970000000000001</v>
      </c>
      <c r="M1119" s="1">
        <v>100</v>
      </c>
      <c r="N1119" s="1" t="s">
        <v>2698</v>
      </c>
    </row>
    <row r="1120" spans="1:14" x14ac:dyDescent="0.25">
      <c r="A1120" t="s">
        <v>1654</v>
      </c>
      <c r="B1120" t="s">
        <v>2105</v>
      </c>
      <c r="C1120" t="s">
        <v>3362</v>
      </c>
      <c r="D1120" s="2">
        <v>4.2896833726473599E-2</v>
      </c>
      <c r="E1120" s="3">
        <v>1122815.2768600399</v>
      </c>
      <c r="F1120" s="3">
        <f t="shared" si="7"/>
        <v>187135.87947667332</v>
      </c>
      <c r="G1120" s="3">
        <f t="shared" si="6"/>
        <v>93567.93973833666</v>
      </c>
      <c r="H1120" t="s">
        <v>461</v>
      </c>
      <c r="I1120" t="s">
        <v>2416</v>
      </c>
      <c r="J1120" t="s">
        <v>2417</v>
      </c>
      <c r="K1120">
        <v>15.94</v>
      </c>
      <c r="L1120">
        <v>2.6829999999999998</v>
      </c>
      <c r="M1120" s="1">
        <v>100</v>
      </c>
      <c r="N1120" s="1" t="s">
        <v>2698</v>
      </c>
    </row>
    <row r="1121" spans="1:14" x14ac:dyDescent="0.25">
      <c r="A1121" t="s">
        <v>2660</v>
      </c>
      <c r="B1121" t="s">
        <v>2105</v>
      </c>
      <c r="C1121" t="s">
        <v>3362</v>
      </c>
      <c r="D1121" s="2">
        <v>2.8525540227571599E-2</v>
      </c>
      <c r="E1121" s="3">
        <v>91268.338261890196</v>
      </c>
      <c r="F1121" s="3">
        <f t="shared" si="7"/>
        <v>15211.389710315032</v>
      </c>
      <c r="G1121" s="3">
        <f t="shared" si="6"/>
        <v>7605.694855157516</v>
      </c>
      <c r="H1121" t="s">
        <v>207</v>
      </c>
      <c r="I1121" t="s">
        <v>2246</v>
      </c>
      <c r="J1121" t="s">
        <v>2418</v>
      </c>
      <c r="K1121">
        <v>9.56</v>
      </c>
      <c r="L1121">
        <v>2.7010000000000001</v>
      </c>
      <c r="M1121" s="1" t="s">
        <v>20</v>
      </c>
      <c r="N1121" s="1" t="s">
        <v>2698</v>
      </c>
    </row>
    <row r="1122" spans="1:14" x14ac:dyDescent="0.25">
      <c r="A1122" t="s">
        <v>1656</v>
      </c>
      <c r="B1122" t="s">
        <v>2105</v>
      </c>
      <c r="C1122" t="s">
        <v>3362</v>
      </c>
      <c r="D1122" s="2">
        <v>3.3241948786800701E-2</v>
      </c>
      <c r="E1122" s="3">
        <v>2134492.4405922098</v>
      </c>
      <c r="F1122" s="3">
        <f t="shared" si="7"/>
        <v>355748.74009870162</v>
      </c>
      <c r="G1122" s="3">
        <f t="shared" si="6"/>
        <v>177874.37004935081</v>
      </c>
      <c r="H1122" t="s">
        <v>62</v>
      </c>
      <c r="I1122" t="s">
        <v>2421</v>
      </c>
      <c r="J1122" t="s">
        <v>2422</v>
      </c>
      <c r="K1122">
        <v>15.94</v>
      </c>
      <c r="L1122">
        <v>2.7080000000000002</v>
      </c>
      <c r="M1122" s="1">
        <v>100</v>
      </c>
      <c r="N1122" s="1" t="s">
        <v>2698</v>
      </c>
    </row>
    <row r="1123" spans="1:14" x14ac:dyDescent="0.25">
      <c r="A1123" t="s">
        <v>2661</v>
      </c>
      <c r="B1123" t="s">
        <v>2105</v>
      </c>
      <c r="C1123" t="s">
        <v>3362</v>
      </c>
      <c r="D1123" s="2">
        <v>2.7367173185820801E-2</v>
      </c>
      <c r="E1123" s="3">
        <v>787189.37012932496</v>
      </c>
      <c r="F1123" s="3">
        <f t="shared" si="7"/>
        <v>131198.22835488748</v>
      </c>
      <c r="G1123" s="3">
        <f t="shared" si="6"/>
        <v>65599.114177443742</v>
      </c>
      <c r="H1123" t="s">
        <v>130</v>
      </c>
      <c r="I1123" t="s">
        <v>93</v>
      </c>
      <c r="J1123" t="s">
        <v>422</v>
      </c>
      <c r="K1123">
        <v>14.66</v>
      </c>
      <c r="L1123">
        <v>2.65</v>
      </c>
      <c r="M1123" s="1">
        <v>10</v>
      </c>
      <c r="N1123" s="1" t="s">
        <v>2698</v>
      </c>
    </row>
    <row r="1124" spans="1:14" x14ac:dyDescent="0.25">
      <c r="A1124" t="s">
        <v>1658</v>
      </c>
      <c r="B1124" t="s">
        <v>2105</v>
      </c>
      <c r="C1124" t="s">
        <v>3362</v>
      </c>
      <c r="D1124" s="2">
        <v>3.8391842842163897E-2</v>
      </c>
      <c r="E1124" s="3">
        <v>1509428.25483178</v>
      </c>
      <c r="F1124" s="3">
        <f t="shared" si="7"/>
        <v>251571.37580529667</v>
      </c>
      <c r="G1124" s="3">
        <f t="shared" si="6"/>
        <v>125785.68790264834</v>
      </c>
      <c r="H1124" t="s">
        <v>235</v>
      </c>
      <c r="I1124" t="s">
        <v>2427</v>
      </c>
      <c r="J1124" t="s">
        <v>2428</v>
      </c>
      <c r="K1124">
        <v>17.21</v>
      </c>
      <c r="L1124">
        <v>2.6440000000000001</v>
      </c>
      <c r="M1124" s="1">
        <v>100</v>
      </c>
      <c r="N1124" s="1" t="s">
        <v>2698</v>
      </c>
    </row>
    <row r="1125" spans="1:14" x14ac:dyDescent="0.25">
      <c r="A1125" t="s">
        <v>2662</v>
      </c>
      <c r="B1125" t="s">
        <v>2105</v>
      </c>
      <c r="C1125" t="s">
        <v>3362</v>
      </c>
      <c r="D1125" s="2">
        <v>4.1984773190361403E-2</v>
      </c>
      <c r="E1125" s="3">
        <v>1208055.3570415501</v>
      </c>
      <c r="F1125" s="3">
        <f t="shared" si="7"/>
        <v>201342.55950692503</v>
      </c>
      <c r="G1125" s="3">
        <f t="shared" si="6"/>
        <v>100671.27975346251</v>
      </c>
      <c r="H1125" t="s">
        <v>280</v>
      </c>
      <c r="I1125" t="s">
        <v>2431</v>
      </c>
      <c r="J1125" t="s">
        <v>2432</v>
      </c>
      <c r="K1125">
        <v>15.3</v>
      </c>
      <c r="L1125">
        <v>2.6179999999999999</v>
      </c>
      <c r="M1125" s="1">
        <v>100</v>
      </c>
      <c r="N1125" s="1" t="s">
        <v>2698</v>
      </c>
    </row>
    <row r="1126" spans="1:14" x14ac:dyDescent="0.25">
      <c r="A1126" t="s">
        <v>1660</v>
      </c>
      <c r="B1126" t="s">
        <v>2105</v>
      </c>
      <c r="C1126" t="s">
        <v>3362</v>
      </c>
      <c r="D1126" s="2">
        <v>4.8368325000385702E-2</v>
      </c>
      <c r="E1126" s="3">
        <v>899600.99860356306</v>
      </c>
      <c r="F1126" s="3">
        <f t="shared" si="7"/>
        <v>149933.49976726051</v>
      </c>
      <c r="G1126" s="3">
        <f t="shared" si="6"/>
        <v>74966.749883630255</v>
      </c>
      <c r="H1126" t="s">
        <v>287</v>
      </c>
      <c r="I1126" t="s">
        <v>924</v>
      </c>
      <c r="J1126" t="s">
        <v>2610</v>
      </c>
      <c r="K1126">
        <v>13.39</v>
      </c>
      <c r="L1126">
        <v>2.5409999999999999</v>
      </c>
      <c r="M1126" s="1">
        <v>100</v>
      </c>
      <c r="N1126" s="1" t="s">
        <v>2698</v>
      </c>
    </row>
    <row r="1127" spans="1:14" x14ac:dyDescent="0.25">
      <c r="A1127" t="s">
        <v>2688</v>
      </c>
      <c r="B1127" t="s">
        <v>2105</v>
      </c>
      <c r="C1127" t="s">
        <v>3362</v>
      </c>
      <c r="D1127" s="2">
        <v>3.1345716003070699E-2</v>
      </c>
      <c r="E1127" s="3">
        <v>2729178.4598941901</v>
      </c>
      <c r="F1127" s="3">
        <f t="shared" si="7"/>
        <v>454863.07664903166</v>
      </c>
      <c r="G1127" s="3">
        <f t="shared" si="6"/>
        <v>227431.53832451583</v>
      </c>
      <c r="H1127" t="s">
        <v>124</v>
      </c>
      <c r="I1127" t="s">
        <v>2612</v>
      </c>
      <c r="J1127" t="s">
        <v>2613</v>
      </c>
      <c r="K1127">
        <v>12.11</v>
      </c>
      <c r="L1127">
        <v>2.5289999999999999</v>
      </c>
      <c r="M1127" s="1">
        <v>100</v>
      </c>
      <c r="N1127" s="1" t="s">
        <v>2698</v>
      </c>
    </row>
    <row r="1128" spans="1:14" x14ac:dyDescent="0.25">
      <c r="A1128" t="s">
        <v>2689</v>
      </c>
      <c r="B1128" t="s">
        <v>2105</v>
      </c>
      <c r="C1128" t="s">
        <v>3362</v>
      </c>
      <c r="D1128" s="2">
        <v>3.6591614122512002E-2</v>
      </c>
      <c r="E1128" s="3">
        <v>1852853.7218005101</v>
      </c>
      <c r="F1128" s="3">
        <f t="shared" si="7"/>
        <v>308808.95363341836</v>
      </c>
      <c r="G1128" s="3">
        <f t="shared" si="6"/>
        <v>154404.47681670918</v>
      </c>
      <c r="H1128" t="s">
        <v>2617</v>
      </c>
      <c r="I1128" t="s">
        <v>2618</v>
      </c>
      <c r="J1128" t="s">
        <v>2619</v>
      </c>
      <c r="K1128">
        <v>12.75</v>
      </c>
      <c r="L1128">
        <v>2.4729999999999999</v>
      </c>
      <c r="M1128" s="1">
        <v>100</v>
      </c>
      <c r="N1128" s="1" t="s">
        <v>2698</v>
      </c>
    </row>
    <row r="1129" spans="1:14" x14ac:dyDescent="0.25">
      <c r="A1129" t="s">
        <v>2663</v>
      </c>
      <c r="B1129" t="s">
        <v>2105</v>
      </c>
      <c r="C1129" t="s">
        <v>3362</v>
      </c>
      <c r="D1129" s="2">
        <v>2.68935341299665E-2</v>
      </c>
      <c r="E1129" s="3">
        <v>7025984.2898347396</v>
      </c>
      <c r="F1129" s="3">
        <f t="shared" si="7"/>
        <v>1170997.3816391232</v>
      </c>
      <c r="G1129" s="3">
        <f t="shared" si="6"/>
        <v>585498.6908195616</v>
      </c>
      <c r="H1129" t="s">
        <v>232</v>
      </c>
      <c r="I1129" t="s">
        <v>2434</v>
      </c>
      <c r="J1129" t="s">
        <v>1465</v>
      </c>
      <c r="K1129">
        <v>13.39</v>
      </c>
      <c r="L1129">
        <v>2.5790000000000002</v>
      </c>
      <c r="M1129" s="1">
        <v>100</v>
      </c>
      <c r="N1129" s="1" t="s">
        <v>2698</v>
      </c>
    </row>
    <row r="1130" spans="1:14" x14ac:dyDescent="0.25">
      <c r="A1130" t="s">
        <v>2664</v>
      </c>
      <c r="B1130" t="s">
        <v>2105</v>
      </c>
      <c r="C1130" t="s">
        <v>3362</v>
      </c>
      <c r="D1130" s="2">
        <v>5.0525983177207398E-2</v>
      </c>
      <c r="E1130" s="3">
        <v>783276.11240193399</v>
      </c>
      <c r="F1130" s="3">
        <f t="shared" si="7"/>
        <v>130546.01873365567</v>
      </c>
      <c r="G1130" s="3">
        <f t="shared" si="6"/>
        <v>65273.009366827835</v>
      </c>
      <c r="H1130" t="s">
        <v>305</v>
      </c>
      <c r="I1130" t="s">
        <v>2437</v>
      </c>
      <c r="J1130" t="s">
        <v>2438</v>
      </c>
      <c r="K1130">
        <v>10.84</v>
      </c>
      <c r="L1130">
        <v>2.637</v>
      </c>
      <c r="M1130" s="1">
        <v>100</v>
      </c>
      <c r="N1130" s="1" t="s">
        <v>2698</v>
      </c>
    </row>
    <row r="1131" spans="1:14" x14ac:dyDescent="0.25">
      <c r="A1131" t="s">
        <v>2665</v>
      </c>
      <c r="B1131" t="s">
        <v>2105</v>
      </c>
      <c r="C1131" t="s">
        <v>3362</v>
      </c>
      <c r="D1131" s="2">
        <v>2.9486074234609701E-2</v>
      </c>
      <c r="E1131" s="3">
        <v>10340303.5993666</v>
      </c>
      <c r="F1131" s="3">
        <f t="shared" si="7"/>
        <v>1723383.9332277665</v>
      </c>
      <c r="G1131" s="3">
        <f t="shared" si="6"/>
        <v>861691.96661388327</v>
      </c>
      <c r="H1131" t="s">
        <v>98</v>
      </c>
      <c r="I1131" t="s">
        <v>2441</v>
      </c>
      <c r="J1131" t="s">
        <v>2442</v>
      </c>
      <c r="K1131">
        <v>8.2899999999999991</v>
      </c>
      <c r="L1131">
        <v>2.605</v>
      </c>
      <c r="M1131" s="1">
        <v>100</v>
      </c>
      <c r="N1131" s="1" t="s">
        <v>2698</v>
      </c>
    </row>
    <row r="1132" spans="1:14" x14ac:dyDescent="0.25">
      <c r="A1132" t="s">
        <v>1666</v>
      </c>
      <c r="B1132" t="s">
        <v>2105</v>
      </c>
      <c r="C1132" t="s">
        <v>3362</v>
      </c>
      <c r="D1132" s="2">
        <v>3.3967980359987299E-2</v>
      </c>
      <c r="E1132" s="3">
        <v>2190451.4264543699</v>
      </c>
      <c r="F1132" s="3">
        <f t="shared" si="7"/>
        <v>365075.23774239497</v>
      </c>
      <c r="G1132" s="3">
        <f t="shared" si="6"/>
        <v>182537.61887119748</v>
      </c>
      <c r="H1132" t="s">
        <v>162</v>
      </c>
      <c r="I1132" t="s">
        <v>378</v>
      </c>
      <c r="J1132" t="s">
        <v>2620</v>
      </c>
      <c r="K1132">
        <v>12.11</v>
      </c>
      <c r="L1132">
        <v>2.4750000000000001</v>
      </c>
      <c r="M1132" s="1">
        <v>100</v>
      </c>
      <c r="N1132" s="1" t="s">
        <v>2698</v>
      </c>
    </row>
    <row r="1133" spans="1:14" x14ac:dyDescent="0.25">
      <c r="A1133" t="s">
        <v>1667</v>
      </c>
      <c r="B1133" t="s">
        <v>2105</v>
      </c>
      <c r="C1133" t="s">
        <v>3362</v>
      </c>
      <c r="D1133" s="2">
        <v>4.4835699406082299E-2</v>
      </c>
      <c r="E1133" s="3">
        <v>182176.35940345901</v>
      </c>
      <c r="F1133" s="3">
        <f t="shared" si="7"/>
        <v>30362.726567243168</v>
      </c>
      <c r="G1133" s="3">
        <f t="shared" si="6"/>
        <v>15181.363283621584</v>
      </c>
      <c r="H1133" t="s">
        <v>347</v>
      </c>
      <c r="I1133" t="s">
        <v>2216</v>
      </c>
      <c r="J1133" t="s">
        <v>954</v>
      </c>
      <c r="K1133">
        <v>8.2899999999999991</v>
      </c>
      <c r="L1133">
        <v>2.48</v>
      </c>
      <c r="M1133" s="1" t="s">
        <v>20</v>
      </c>
      <c r="N1133" s="1" t="s">
        <v>2698</v>
      </c>
    </row>
    <row r="1134" spans="1:14" x14ac:dyDescent="0.25">
      <c r="A1134" t="s">
        <v>2690</v>
      </c>
      <c r="B1134" t="s">
        <v>2105</v>
      </c>
      <c r="C1134" t="s">
        <v>3362</v>
      </c>
      <c r="D1134" s="2">
        <v>2.9220260648167899E-2</v>
      </c>
      <c r="E1134" s="3">
        <v>3484820.6518464601</v>
      </c>
      <c r="F1134" s="3">
        <f t="shared" si="7"/>
        <v>580803.44197440997</v>
      </c>
      <c r="G1134" s="3">
        <f t="shared" si="6"/>
        <v>290401.72098720499</v>
      </c>
      <c r="H1134" t="s">
        <v>150</v>
      </c>
      <c r="I1134" t="s">
        <v>972</v>
      </c>
      <c r="J1134" t="s">
        <v>2625</v>
      </c>
      <c r="K1134">
        <v>14.03</v>
      </c>
      <c r="L1134">
        <v>2.54</v>
      </c>
      <c r="M1134" s="1">
        <v>100</v>
      </c>
      <c r="N1134" s="1" t="s">
        <v>2698</v>
      </c>
    </row>
    <row r="1135" spans="1:14" x14ac:dyDescent="0.25">
      <c r="A1135" t="s">
        <v>1670</v>
      </c>
      <c r="B1135" t="s">
        <v>2105</v>
      </c>
      <c r="C1135" t="s">
        <v>3362</v>
      </c>
      <c r="D1135" s="2">
        <v>2.73837814403344E-2</v>
      </c>
      <c r="E1135" s="3">
        <v>4699458.5124848103</v>
      </c>
      <c r="F1135" s="3">
        <f t="shared" si="7"/>
        <v>783243.08541413501</v>
      </c>
      <c r="G1135" s="3">
        <f t="shared" si="6"/>
        <v>391621.54270706751</v>
      </c>
      <c r="H1135" t="s">
        <v>634</v>
      </c>
      <c r="I1135" t="s">
        <v>2628</v>
      </c>
      <c r="J1135" t="s">
        <v>905</v>
      </c>
      <c r="K1135">
        <v>13.39</v>
      </c>
      <c r="L1135">
        <v>2.621</v>
      </c>
      <c r="M1135" s="1">
        <v>100</v>
      </c>
      <c r="N1135" s="1" t="s">
        <v>2698</v>
      </c>
    </row>
    <row r="1136" spans="1:14" x14ac:dyDescent="0.25">
      <c r="A1136" t="s">
        <v>1671</v>
      </c>
      <c r="B1136" t="s">
        <v>2105</v>
      </c>
      <c r="C1136" t="s">
        <v>3362</v>
      </c>
      <c r="D1136" s="2">
        <v>2.7217799611614399E-2</v>
      </c>
      <c r="E1136" s="3">
        <v>4909731.1266495204</v>
      </c>
      <c r="F1136" s="3">
        <f t="shared" si="7"/>
        <v>818288.52110825339</v>
      </c>
      <c r="G1136" s="3">
        <f t="shared" si="6"/>
        <v>409144.2605541267</v>
      </c>
      <c r="H1136" t="s">
        <v>347</v>
      </c>
      <c r="I1136" t="s">
        <v>1490</v>
      </c>
      <c r="J1136" t="s">
        <v>2444</v>
      </c>
      <c r="K1136">
        <v>13.39</v>
      </c>
      <c r="L1136">
        <v>2.613</v>
      </c>
      <c r="M1136" s="1">
        <v>100</v>
      </c>
      <c r="N1136" s="1" t="s">
        <v>2698</v>
      </c>
    </row>
    <row r="1137" spans="1:14" x14ac:dyDescent="0.25">
      <c r="A1137" t="s">
        <v>2666</v>
      </c>
      <c r="B1137" t="s">
        <v>2105</v>
      </c>
      <c r="C1137" t="s">
        <v>3362</v>
      </c>
      <c r="D1137" s="2">
        <v>2.7964661837947401E-2</v>
      </c>
      <c r="E1137" s="3">
        <v>3992003.7245037602</v>
      </c>
      <c r="F1137" s="3">
        <f t="shared" si="7"/>
        <v>665333.95408396004</v>
      </c>
      <c r="G1137" s="3">
        <f t="shared" si="6"/>
        <v>332666.97704198002</v>
      </c>
      <c r="H1137" t="s">
        <v>71</v>
      </c>
      <c r="I1137" t="s">
        <v>1147</v>
      </c>
      <c r="J1137" t="s">
        <v>2447</v>
      </c>
      <c r="K1137">
        <v>13.39</v>
      </c>
      <c r="L1137">
        <v>2.7010000000000001</v>
      </c>
      <c r="M1137" s="1">
        <v>100</v>
      </c>
      <c r="N1137" s="1" t="s">
        <v>2698</v>
      </c>
    </row>
    <row r="1138" spans="1:14" x14ac:dyDescent="0.25">
      <c r="A1138" t="s">
        <v>2667</v>
      </c>
      <c r="B1138" t="s">
        <v>2105</v>
      </c>
      <c r="C1138" t="s">
        <v>3362</v>
      </c>
      <c r="D1138" s="2">
        <v>2.6839766410202501E-2</v>
      </c>
      <c r="E1138" s="3">
        <v>5815820.1347436598</v>
      </c>
      <c r="F1138" s="3">
        <f t="shared" si="7"/>
        <v>969303.35579060996</v>
      </c>
      <c r="G1138" s="3">
        <f t="shared" si="6"/>
        <v>484651.67789530498</v>
      </c>
      <c r="H1138" t="s">
        <v>88</v>
      </c>
      <c r="I1138" t="s">
        <v>2448</v>
      </c>
      <c r="J1138" t="s">
        <v>2071</v>
      </c>
      <c r="K1138">
        <v>17.21</v>
      </c>
      <c r="L1138">
        <v>2.6579999999999999</v>
      </c>
      <c r="M1138" s="1">
        <v>100</v>
      </c>
      <c r="N1138" s="1" t="s">
        <v>2698</v>
      </c>
    </row>
    <row r="1139" spans="1:14" x14ac:dyDescent="0.25">
      <c r="A1139" t="s">
        <v>2070</v>
      </c>
      <c r="B1139" t="s">
        <v>2105</v>
      </c>
      <c r="C1139" t="s">
        <v>3362</v>
      </c>
      <c r="D1139" s="2">
        <v>3.3756877477687103E-2</v>
      </c>
      <c r="E1139" s="3">
        <v>2113183.8657301599</v>
      </c>
      <c r="F1139" s="3">
        <f t="shared" si="7"/>
        <v>352197.31095502665</v>
      </c>
      <c r="G1139" s="3">
        <f t="shared" si="6"/>
        <v>176098.65547751333</v>
      </c>
      <c r="H1139" t="s">
        <v>17</v>
      </c>
      <c r="I1139" t="s">
        <v>2449</v>
      </c>
      <c r="J1139" t="s">
        <v>2450</v>
      </c>
      <c r="K1139">
        <v>14.66</v>
      </c>
      <c r="L1139">
        <v>2.6160000000000001</v>
      </c>
      <c r="M1139" s="1">
        <v>100</v>
      </c>
      <c r="N1139" s="1" t="s">
        <v>2698</v>
      </c>
    </row>
    <row r="1140" spans="1:14" x14ac:dyDescent="0.25">
      <c r="A1140" t="s">
        <v>1675</v>
      </c>
      <c r="B1140" t="s">
        <v>2105</v>
      </c>
      <c r="C1140" t="s">
        <v>3362</v>
      </c>
      <c r="D1140" s="2">
        <v>4.9480790004978403E-2</v>
      </c>
      <c r="E1140" s="3">
        <v>868704.74526890495</v>
      </c>
      <c r="F1140" s="3">
        <f t="shared" si="7"/>
        <v>144784.12421148416</v>
      </c>
      <c r="G1140" s="3">
        <f t="shared" si="6"/>
        <v>72392.062105742079</v>
      </c>
      <c r="H1140" t="s">
        <v>115</v>
      </c>
      <c r="I1140" t="s">
        <v>2452</v>
      </c>
      <c r="J1140" t="s">
        <v>2453</v>
      </c>
      <c r="K1140">
        <v>12.11</v>
      </c>
      <c r="L1140">
        <v>2.492</v>
      </c>
      <c r="M1140" s="1">
        <v>100</v>
      </c>
      <c r="N1140" s="1" t="s">
        <v>2698</v>
      </c>
    </row>
    <row r="1141" spans="1:14" x14ac:dyDescent="0.25">
      <c r="A1141" t="s">
        <v>2691</v>
      </c>
      <c r="B1141" t="s">
        <v>2105</v>
      </c>
      <c r="C1141" t="s">
        <v>3362</v>
      </c>
      <c r="D1141" s="2">
        <v>2.6915659621140502E-2</v>
      </c>
      <c r="E1141" s="3">
        <v>5823533.3460364398</v>
      </c>
      <c r="F1141" s="3">
        <f t="shared" si="7"/>
        <v>970588.89100607333</v>
      </c>
      <c r="G1141" s="3">
        <f t="shared" si="6"/>
        <v>485294.44550303667</v>
      </c>
      <c r="H1141" t="s">
        <v>217</v>
      </c>
      <c r="I1141" t="s">
        <v>2631</v>
      </c>
      <c r="J1141" t="s">
        <v>2632</v>
      </c>
      <c r="K1141">
        <v>13.39</v>
      </c>
      <c r="L1141">
        <v>2.6219999999999999</v>
      </c>
      <c r="M1141" s="1">
        <v>100</v>
      </c>
      <c r="N1141" s="1" t="s">
        <v>2698</v>
      </c>
    </row>
    <row r="1142" spans="1:14" x14ac:dyDescent="0.25">
      <c r="A1142" t="s">
        <v>2692</v>
      </c>
      <c r="B1142" t="s">
        <v>2105</v>
      </c>
      <c r="C1142" t="s">
        <v>3362</v>
      </c>
      <c r="D1142" s="2">
        <v>3.1281066118295897E-2</v>
      </c>
      <c r="E1142" s="3">
        <v>2699315.2046821001</v>
      </c>
      <c r="F1142" s="3">
        <f t="shared" si="7"/>
        <v>449885.8674470167</v>
      </c>
      <c r="G1142" s="3">
        <f t="shared" ref="G1142:G1173" si="8">F1142/2</f>
        <v>224942.93372350835</v>
      </c>
      <c r="H1142" t="s">
        <v>76</v>
      </c>
      <c r="I1142" t="s">
        <v>2633</v>
      </c>
      <c r="J1142" t="s">
        <v>2634</v>
      </c>
      <c r="K1142">
        <v>13.39</v>
      </c>
      <c r="L1142">
        <v>2.5750000000000002</v>
      </c>
      <c r="M1142" s="1">
        <v>100</v>
      </c>
      <c r="N1142" s="1" t="s">
        <v>2698</v>
      </c>
    </row>
    <row r="1143" spans="1:14" x14ac:dyDescent="0.25">
      <c r="A1143" t="s">
        <v>2693</v>
      </c>
      <c r="B1143" t="s">
        <v>2105</v>
      </c>
      <c r="C1143" t="s">
        <v>3362</v>
      </c>
      <c r="D1143" s="2">
        <v>3.29561568084627E-2</v>
      </c>
      <c r="E1143" s="3">
        <v>2329379.5913622002</v>
      </c>
      <c r="F1143" s="3">
        <f t="shared" si="7"/>
        <v>388229.93189370004</v>
      </c>
      <c r="G1143" s="3">
        <f t="shared" si="8"/>
        <v>194114.96594685002</v>
      </c>
      <c r="H1143" t="s">
        <v>124</v>
      </c>
      <c r="I1143" t="s">
        <v>566</v>
      </c>
      <c r="J1143" t="s">
        <v>2636</v>
      </c>
      <c r="K1143">
        <v>12.11</v>
      </c>
      <c r="L1143">
        <v>2.5419999999999998</v>
      </c>
      <c r="M1143" s="1">
        <v>100</v>
      </c>
      <c r="N1143" s="1" t="s">
        <v>2698</v>
      </c>
    </row>
    <row r="1144" spans="1:14" x14ac:dyDescent="0.25">
      <c r="A1144" t="s">
        <v>2078</v>
      </c>
      <c r="B1144" t="s">
        <v>2105</v>
      </c>
      <c r="C1144" t="s">
        <v>3362</v>
      </c>
      <c r="D1144" s="2">
        <v>3.1445117686001903E-2</v>
      </c>
      <c r="E1144" s="3">
        <v>2733699.3604350002</v>
      </c>
      <c r="F1144" s="3">
        <f t="shared" si="7"/>
        <v>455616.56007250003</v>
      </c>
      <c r="G1144" s="3">
        <f t="shared" si="8"/>
        <v>227808.28003625001</v>
      </c>
      <c r="H1144" t="s">
        <v>232</v>
      </c>
      <c r="I1144" t="s">
        <v>2638</v>
      </c>
      <c r="J1144" t="s">
        <v>2639</v>
      </c>
      <c r="K1144">
        <v>13.39</v>
      </c>
      <c r="L1144">
        <v>2.4969999999999999</v>
      </c>
      <c r="M1144" s="1">
        <v>100</v>
      </c>
      <c r="N1144" s="1" t="s">
        <v>2698</v>
      </c>
    </row>
    <row r="1145" spans="1:14" x14ac:dyDescent="0.25">
      <c r="A1145" t="s">
        <v>1731</v>
      </c>
      <c r="B1145" t="s">
        <v>2105</v>
      </c>
      <c r="C1145" t="s">
        <v>3362</v>
      </c>
      <c r="D1145" s="2">
        <v>2.7138991639734201E-2</v>
      </c>
      <c r="E1145" s="3">
        <v>5130502.5139451697</v>
      </c>
      <c r="F1145" s="3">
        <f t="shared" si="7"/>
        <v>855083.752324195</v>
      </c>
      <c r="G1145" s="3">
        <f t="shared" si="8"/>
        <v>427541.8761620975</v>
      </c>
      <c r="H1145" t="s">
        <v>98</v>
      </c>
      <c r="I1145" t="s">
        <v>874</v>
      </c>
      <c r="J1145" t="s">
        <v>533</v>
      </c>
      <c r="K1145">
        <v>12.11</v>
      </c>
      <c r="L1145">
        <v>2.5419999999999998</v>
      </c>
      <c r="M1145" s="1">
        <v>100</v>
      </c>
      <c r="N1145" s="1" t="s">
        <v>2698</v>
      </c>
    </row>
    <row r="1146" spans="1:14" x14ac:dyDescent="0.25">
      <c r="A1146" t="s">
        <v>2694</v>
      </c>
      <c r="B1146" t="s">
        <v>2105</v>
      </c>
      <c r="C1146" t="s">
        <v>3362</v>
      </c>
      <c r="D1146" s="2">
        <v>3.3962925179040399E-2</v>
      </c>
      <c r="E1146" s="3">
        <v>2159710.29286204</v>
      </c>
      <c r="F1146" s="3">
        <f t="shared" si="7"/>
        <v>359951.71547700668</v>
      </c>
      <c r="G1146" s="3">
        <f t="shared" si="8"/>
        <v>179975.85773850334</v>
      </c>
      <c r="H1146" t="s">
        <v>297</v>
      </c>
      <c r="I1146" t="s">
        <v>2575</v>
      </c>
      <c r="J1146" t="s">
        <v>1013</v>
      </c>
      <c r="K1146">
        <v>10.84</v>
      </c>
      <c r="L1146">
        <v>2.5099999999999998</v>
      </c>
      <c r="M1146" s="1">
        <v>100</v>
      </c>
      <c r="N1146" s="1" t="s">
        <v>2698</v>
      </c>
    </row>
    <row r="1147" spans="1:14" x14ac:dyDescent="0.25">
      <c r="A1147" t="s">
        <v>2695</v>
      </c>
      <c r="B1147" t="s">
        <v>2105</v>
      </c>
      <c r="C1147" t="s">
        <v>3362</v>
      </c>
      <c r="D1147" s="2">
        <v>2.6975444515938099E-2</v>
      </c>
      <c r="E1147" s="3">
        <v>7400179.2565445704</v>
      </c>
      <c r="F1147" s="3">
        <f t="shared" si="7"/>
        <v>1233363.209424095</v>
      </c>
      <c r="G1147" s="3">
        <f t="shared" si="8"/>
        <v>616681.6047120475</v>
      </c>
      <c r="H1147" t="s">
        <v>240</v>
      </c>
      <c r="I1147" t="s">
        <v>1406</v>
      </c>
      <c r="J1147" t="s">
        <v>1099</v>
      </c>
      <c r="K1147">
        <v>14.66</v>
      </c>
      <c r="L1147">
        <v>2.5590000000000002</v>
      </c>
      <c r="M1147" s="1">
        <v>100</v>
      </c>
      <c r="N1147" s="1" t="s">
        <v>2698</v>
      </c>
    </row>
    <row r="1148" spans="1:14" x14ac:dyDescent="0.25">
      <c r="A1148" t="s">
        <v>2696</v>
      </c>
      <c r="B1148" t="s">
        <v>2105</v>
      </c>
      <c r="C1148" t="s">
        <v>3362</v>
      </c>
      <c r="D1148" s="2">
        <v>3.5014930204046703E-2</v>
      </c>
      <c r="E1148" s="3">
        <v>1992616.48325854</v>
      </c>
      <c r="F1148" s="3">
        <f t="shared" ref="F1148:F1179" si="9">E1148/6</f>
        <v>332102.74720975669</v>
      </c>
      <c r="G1148" s="3">
        <f t="shared" si="8"/>
        <v>166051.37360487835</v>
      </c>
      <c r="H1148" t="s">
        <v>2647</v>
      </c>
      <c r="I1148" t="s">
        <v>2648</v>
      </c>
      <c r="J1148" t="s">
        <v>2649</v>
      </c>
      <c r="K1148">
        <v>9.56</v>
      </c>
      <c r="L1148">
        <v>2.625</v>
      </c>
      <c r="M1148" s="1">
        <v>100</v>
      </c>
      <c r="N1148" s="1" t="s">
        <v>2698</v>
      </c>
    </row>
    <row r="1149" spans="1:14" x14ac:dyDescent="0.25">
      <c r="A1149" t="s">
        <v>1736</v>
      </c>
      <c r="B1149" t="s">
        <v>2105</v>
      </c>
      <c r="C1149" t="s">
        <v>3362</v>
      </c>
      <c r="D1149" s="2">
        <v>2.6885294745057201E-2</v>
      </c>
      <c r="E1149" s="3">
        <v>5636250.4517505402</v>
      </c>
      <c r="F1149" s="3">
        <f t="shared" si="9"/>
        <v>939375.07529175666</v>
      </c>
      <c r="G1149" s="3">
        <f t="shared" si="8"/>
        <v>469687.53764587833</v>
      </c>
      <c r="H1149" t="s">
        <v>169</v>
      </c>
      <c r="I1149" t="s">
        <v>2650</v>
      </c>
      <c r="J1149" t="s">
        <v>2651</v>
      </c>
      <c r="K1149">
        <v>14.03</v>
      </c>
      <c r="L1149">
        <v>2.62</v>
      </c>
      <c r="M1149" s="1">
        <v>100</v>
      </c>
      <c r="N1149" s="1" t="s">
        <v>2698</v>
      </c>
    </row>
    <row r="1150" spans="1:14" x14ac:dyDescent="0.25">
      <c r="A1150" t="s">
        <v>2668</v>
      </c>
      <c r="B1150" t="s">
        <v>2105</v>
      </c>
      <c r="C1150" t="s">
        <v>3362</v>
      </c>
      <c r="D1150" s="2">
        <v>6.2859712158694903E-2</v>
      </c>
      <c r="E1150" s="3">
        <v>21772465.9074504</v>
      </c>
      <c r="F1150" s="3">
        <f t="shared" si="9"/>
        <v>3628744.3179084002</v>
      </c>
      <c r="G1150" s="3">
        <f t="shared" si="8"/>
        <v>1814372.1589542001</v>
      </c>
      <c r="H1150" t="s">
        <v>17</v>
      </c>
      <c r="I1150" t="s">
        <v>204</v>
      </c>
      <c r="J1150" t="s">
        <v>2059</v>
      </c>
      <c r="K1150">
        <v>13.39</v>
      </c>
      <c r="L1150">
        <v>2.5630000000000002</v>
      </c>
      <c r="M1150" s="1">
        <v>100</v>
      </c>
      <c r="N1150" s="1" t="s">
        <v>2698</v>
      </c>
    </row>
    <row r="1151" spans="1:14" x14ac:dyDescent="0.25">
      <c r="A1151" t="s">
        <v>2072</v>
      </c>
      <c r="B1151" t="s">
        <v>2105</v>
      </c>
      <c r="C1151" t="s">
        <v>3362</v>
      </c>
      <c r="D1151" s="2">
        <v>2.6942431939736701E-2</v>
      </c>
      <c r="E1151" s="3">
        <v>542687.81638149905</v>
      </c>
      <c r="F1151" s="3">
        <f t="shared" si="9"/>
        <v>90447.969396916509</v>
      </c>
      <c r="G1151" s="3">
        <f t="shared" si="8"/>
        <v>45223.984698458255</v>
      </c>
      <c r="H1151" t="s">
        <v>227</v>
      </c>
      <c r="I1151" t="s">
        <v>2457</v>
      </c>
      <c r="J1151" t="s">
        <v>2458</v>
      </c>
      <c r="K1151">
        <v>11.48</v>
      </c>
      <c r="L1151">
        <v>2.5739999999999998</v>
      </c>
      <c r="M1151" s="1">
        <v>10</v>
      </c>
      <c r="N1151" s="1" t="s">
        <v>2698</v>
      </c>
    </row>
    <row r="1152" spans="1:14" x14ac:dyDescent="0.25">
      <c r="A1152" t="s">
        <v>1778</v>
      </c>
      <c r="B1152" t="s">
        <v>2105</v>
      </c>
      <c r="C1152" t="s">
        <v>3362</v>
      </c>
      <c r="D1152" s="2">
        <v>4.08033117223588E-2</v>
      </c>
      <c r="E1152" s="3">
        <v>1342711.8287068701</v>
      </c>
      <c r="F1152" s="3">
        <f t="shared" si="9"/>
        <v>223785.30478447836</v>
      </c>
      <c r="G1152" s="3">
        <f t="shared" si="8"/>
        <v>111892.65239223918</v>
      </c>
      <c r="H1152" t="s">
        <v>287</v>
      </c>
      <c r="I1152" t="s">
        <v>2461</v>
      </c>
      <c r="J1152" t="s">
        <v>2462</v>
      </c>
      <c r="K1152">
        <v>13.39</v>
      </c>
      <c r="L1152">
        <v>2.5329999999999999</v>
      </c>
      <c r="M1152" s="1">
        <v>100</v>
      </c>
      <c r="N1152" s="1" t="s">
        <v>2698</v>
      </c>
    </row>
    <row r="1153" spans="1:14" x14ac:dyDescent="0.25">
      <c r="A1153" t="s">
        <v>2669</v>
      </c>
      <c r="B1153" t="s">
        <v>2105</v>
      </c>
      <c r="C1153" t="s">
        <v>3362</v>
      </c>
      <c r="D1153" s="2">
        <v>2.6892809359173001E-2</v>
      </c>
      <c r="E1153" s="3">
        <v>5596748.4953380004</v>
      </c>
      <c r="F1153" s="3">
        <f t="shared" si="9"/>
        <v>932791.41588966676</v>
      </c>
      <c r="G1153" s="3">
        <f t="shared" si="8"/>
        <v>466395.70794483338</v>
      </c>
      <c r="H1153" t="s">
        <v>324</v>
      </c>
      <c r="I1153" t="s">
        <v>2463</v>
      </c>
      <c r="J1153" t="s">
        <v>2464</v>
      </c>
      <c r="K1153">
        <v>12.75</v>
      </c>
      <c r="L1153">
        <v>2.593</v>
      </c>
      <c r="M1153" s="1">
        <v>100</v>
      </c>
      <c r="N1153" s="1" t="s">
        <v>2698</v>
      </c>
    </row>
    <row r="1154" spans="1:14" x14ac:dyDescent="0.25">
      <c r="A1154" t="s">
        <v>1780</v>
      </c>
      <c r="B1154" t="s">
        <v>2105</v>
      </c>
      <c r="C1154" t="s">
        <v>3362</v>
      </c>
      <c r="D1154" s="2">
        <v>2.75314819708725E-2</v>
      </c>
      <c r="E1154" s="3">
        <v>7908416.9900486199</v>
      </c>
      <c r="F1154" s="3">
        <f t="shared" si="9"/>
        <v>1318069.4983414367</v>
      </c>
      <c r="G1154" s="3">
        <f t="shared" si="8"/>
        <v>659034.74917071837</v>
      </c>
      <c r="H1154" t="s">
        <v>169</v>
      </c>
      <c r="I1154" t="s">
        <v>2467</v>
      </c>
      <c r="J1154" t="s">
        <v>2468</v>
      </c>
      <c r="K1154">
        <v>11.48</v>
      </c>
      <c r="L1154">
        <v>2.7160000000000002</v>
      </c>
      <c r="M1154" s="1">
        <v>100</v>
      </c>
      <c r="N1154" s="1" t="s">
        <v>2698</v>
      </c>
    </row>
    <row r="1155" spans="1:14" x14ac:dyDescent="0.25">
      <c r="A1155" t="s">
        <v>2670</v>
      </c>
      <c r="B1155" t="s">
        <v>2105</v>
      </c>
      <c r="C1155" t="s">
        <v>3362</v>
      </c>
      <c r="D1155" s="2">
        <v>2.7783078933704498E-2</v>
      </c>
      <c r="E1155" s="3">
        <v>8385392.6483447403</v>
      </c>
      <c r="F1155" s="3">
        <f t="shared" si="9"/>
        <v>1397565.44139079</v>
      </c>
      <c r="G1155" s="3">
        <f t="shared" si="8"/>
        <v>698782.72069539502</v>
      </c>
      <c r="H1155" t="s">
        <v>79</v>
      </c>
      <c r="I1155" t="s">
        <v>612</v>
      </c>
      <c r="J1155" t="s">
        <v>2471</v>
      </c>
      <c r="K1155">
        <v>15.94</v>
      </c>
      <c r="L1155">
        <v>2.66</v>
      </c>
      <c r="M1155" s="1">
        <v>100</v>
      </c>
      <c r="N1155" s="1" t="s">
        <v>2698</v>
      </c>
    </row>
    <row r="1156" spans="1:14" x14ac:dyDescent="0.25">
      <c r="A1156" t="s">
        <v>1783</v>
      </c>
      <c r="B1156" t="s">
        <v>2105</v>
      </c>
      <c r="C1156" t="s">
        <v>3362</v>
      </c>
      <c r="D1156" s="2">
        <v>3.6550492743478998E-2</v>
      </c>
      <c r="E1156" s="3">
        <v>1803523.8746930701</v>
      </c>
      <c r="F1156" s="3">
        <f t="shared" si="9"/>
        <v>300587.31244884501</v>
      </c>
      <c r="G1156" s="3">
        <f t="shared" si="8"/>
        <v>150293.65622442251</v>
      </c>
      <c r="H1156" t="s">
        <v>2473</v>
      </c>
      <c r="I1156" t="s">
        <v>810</v>
      </c>
      <c r="J1156" t="s">
        <v>2474</v>
      </c>
      <c r="K1156">
        <v>12.11</v>
      </c>
      <c r="L1156">
        <v>2.5</v>
      </c>
      <c r="M1156" s="1">
        <v>100</v>
      </c>
      <c r="N1156" s="1" t="s">
        <v>2698</v>
      </c>
    </row>
    <row r="1157" spans="1:14" x14ac:dyDescent="0.25">
      <c r="A1157" t="s">
        <v>2671</v>
      </c>
      <c r="B1157" t="s">
        <v>2105</v>
      </c>
      <c r="C1157" t="s">
        <v>3362</v>
      </c>
      <c r="D1157" s="2">
        <v>2.71300944398285E-2</v>
      </c>
      <c r="E1157" s="3">
        <v>5234760.9275730401</v>
      </c>
      <c r="F1157" s="3">
        <f t="shared" si="9"/>
        <v>872460.15459550673</v>
      </c>
      <c r="G1157" s="3">
        <f t="shared" si="8"/>
        <v>436230.07729775336</v>
      </c>
      <c r="H1157" t="s">
        <v>232</v>
      </c>
      <c r="I1157" t="s">
        <v>2476</v>
      </c>
      <c r="J1157" t="s">
        <v>2477</v>
      </c>
      <c r="K1157">
        <v>15.94</v>
      </c>
      <c r="L1157">
        <v>2.504</v>
      </c>
      <c r="M1157" s="1">
        <v>100</v>
      </c>
      <c r="N1157" s="1" t="s">
        <v>2698</v>
      </c>
    </row>
    <row r="1158" spans="1:14" x14ac:dyDescent="0.25">
      <c r="A1158" t="s">
        <v>1785</v>
      </c>
      <c r="B1158" t="s">
        <v>2105</v>
      </c>
      <c r="C1158" t="s">
        <v>3362</v>
      </c>
      <c r="D1158" s="2">
        <v>3.1754722014655901E-2</v>
      </c>
      <c r="E1158" s="3">
        <v>2642616.8847432798</v>
      </c>
      <c r="F1158" s="3">
        <f t="shared" si="9"/>
        <v>440436.14745721332</v>
      </c>
      <c r="G1158" s="3">
        <f t="shared" si="8"/>
        <v>220218.07372860666</v>
      </c>
      <c r="H1158" t="s">
        <v>207</v>
      </c>
      <c r="I1158" t="s">
        <v>1558</v>
      </c>
      <c r="J1158" t="s">
        <v>2480</v>
      </c>
      <c r="K1158">
        <v>11.48</v>
      </c>
      <c r="L1158">
        <v>2.5049999999999999</v>
      </c>
      <c r="M1158" s="1">
        <v>100</v>
      </c>
      <c r="N1158" s="1" t="s">
        <v>2698</v>
      </c>
    </row>
    <row r="1159" spans="1:14" x14ac:dyDescent="0.25">
      <c r="A1159" t="s">
        <v>2672</v>
      </c>
      <c r="B1159" t="s">
        <v>2105</v>
      </c>
      <c r="C1159" t="s">
        <v>3362</v>
      </c>
      <c r="D1159" s="2">
        <v>2.6805029980205598E-2</v>
      </c>
      <c r="E1159" s="3">
        <v>6229205.7168673798</v>
      </c>
      <c r="F1159" s="3">
        <f t="shared" si="9"/>
        <v>1038200.95281123</v>
      </c>
      <c r="G1159" s="3">
        <f t="shared" si="8"/>
        <v>519100.47640561499</v>
      </c>
      <c r="H1159" t="s">
        <v>324</v>
      </c>
      <c r="I1159" t="s">
        <v>2483</v>
      </c>
      <c r="J1159" t="s">
        <v>2484</v>
      </c>
      <c r="K1159">
        <v>12.11</v>
      </c>
      <c r="L1159">
        <v>2.5219999999999998</v>
      </c>
      <c r="M1159" s="1">
        <v>100</v>
      </c>
      <c r="N1159" s="1" t="s">
        <v>2698</v>
      </c>
    </row>
    <row r="1160" spans="1:14" x14ac:dyDescent="0.25">
      <c r="A1160" t="s">
        <v>2673</v>
      </c>
      <c r="B1160" t="s">
        <v>2105</v>
      </c>
      <c r="C1160" t="s">
        <v>3362</v>
      </c>
      <c r="D1160" s="2">
        <v>2.9011100268292699E-2</v>
      </c>
      <c r="E1160" s="3">
        <v>3495846.6435960499</v>
      </c>
      <c r="F1160" s="3">
        <f t="shared" si="9"/>
        <v>582641.10726600827</v>
      </c>
      <c r="G1160" s="3">
        <f t="shared" si="8"/>
        <v>291320.55363300414</v>
      </c>
      <c r="H1160" t="s">
        <v>169</v>
      </c>
      <c r="I1160" t="s">
        <v>2487</v>
      </c>
      <c r="J1160" t="s">
        <v>2488</v>
      </c>
      <c r="K1160">
        <v>12.11</v>
      </c>
      <c r="L1160">
        <v>2.609</v>
      </c>
      <c r="M1160" s="1">
        <v>100</v>
      </c>
      <c r="N1160" s="1" t="s">
        <v>2698</v>
      </c>
    </row>
    <row r="1161" spans="1:14" x14ac:dyDescent="0.25">
      <c r="A1161" t="s">
        <v>1788</v>
      </c>
      <c r="B1161" t="s">
        <v>2105</v>
      </c>
      <c r="C1161" t="s">
        <v>3362</v>
      </c>
      <c r="D1161" s="2">
        <v>2.7294356325125099E-2</v>
      </c>
      <c r="E1161" s="3">
        <v>4780172.5987231601</v>
      </c>
      <c r="F1161" s="3">
        <f t="shared" si="9"/>
        <v>796695.43312052672</v>
      </c>
      <c r="G1161" s="3">
        <f t="shared" si="8"/>
        <v>398347.71656026336</v>
      </c>
      <c r="H1161" t="s">
        <v>82</v>
      </c>
      <c r="I1161" t="s">
        <v>2491</v>
      </c>
      <c r="J1161" t="s">
        <v>2492</v>
      </c>
      <c r="K1161">
        <v>12.11</v>
      </c>
      <c r="L1161">
        <v>2.6320000000000001</v>
      </c>
      <c r="M1161" s="1">
        <v>100</v>
      </c>
      <c r="N1161" s="1" t="s">
        <v>2698</v>
      </c>
    </row>
    <row r="1162" spans="1:14" x14ac:dyDescent="0.25">
      <c r="A1162" t="s">
        <v>1789</v>
      </c>
      <c r="B1162" t="s">
        <v>2105</v>
      </c>
      <c r="C1162" t="s">
        <v>3362</v>
      </c>
      <c r="D1162" s="2">
        <v>2.7463584668115899E-2</v>
      </c>
      <c r="E1162" s="3">
        <v>4531200.4084850103</v>
      </c>
      <c r="F1162" s="3">
        <f t="shared" si="9"/>
        <v>755200.06808083504</v>
      </c>
      <c r="G1162" s="3">
        <f t="shared" si="8"/>
        <v>377600.03404041752</v>
      </c>
      <c r="H1162" t="s">
        <v>222</v>
      </c>
      <c r="I1162" t="s">
        <v>2495</v>
      </c>
      <c r="J1162" t="s">
        <v>2496</v>
      </c>
      <c r="K1162">
        <v>14.66</v>
      </c>
      <c r="L1162">
        <v>2.6219999999999999</v>
      </c>
      <c r="M1162" s="1">
        <v>100</v>
      </c>
      <c r="N1162" s="1" t="s">
        <v>2698</v>
      </c>
    </row>
    <row r="1163" spans="1:14" x14ac:dyDescent="0.25">
      <c r="A1163" t="s">
        <v>2674</v>
      </c>
      <c r="B1163" t="s">
        <v>2105</v>
      </c>
      <c r="C1163" t="s">
        <v>3362</v>
      </c>
      <c r="D1163" s="2">
        <v>3.2818175041640002E-2</v>
      </c>
      <c r="E1163" s="3">
        <v>2374471.4156702701</v>
      </c>
      <c r="F1163" s="3">
        <f t="shared" si="9"/>
        <v>395745.23594504502</v>
      </c>
      <c r="G1163" s="3">
        <f t="shared" si="8"/>
        <v>197872.61797252251</v>
      </c>
      <c r="H1163" t="s">
        <v>198</v>
      </c>
      <c r="I1163" t="s">
        <v>2498</v>
      </c>
      <c r="J1163" t="s">
        <v>2499</v>
      </c>
      <c r="K1163">
        <v>14.66</v>
      </c>
      <c r="L1163">
        <v>2.5219999999999998</v>
      </c>
      <c r="M1163" s="1">
        <v>100</v>
      </c>
      <c r="N1163" s="1" t="s">
        <v>2698</v>
      </c>
    </row>
    <row r="1164" spans="1:14" x14ac:dyDescent="0.25">
      <c r="A1164" t="s">
        <v>2675</v>
      </c>
      <c r="B1164" t="s">
        <v>2105</v>
      </c>
      <c r="C1164" t="s">
        <v>3362</v>
      </c>
      <c r="D1164" s="2">
        <v>3.6073690490021897E-2</v>
      </c>
      <c r="E1164" s="3">
        <v>1886085.3421628701</v>
      </c>
      <c r="F1164" s="3">
        <f t="shared" si="9"/>
        <v>314347.557027145</v>
      </c>
      <c r="G1164" s="3">
        <f t="shared" si="8"/>
        <v>157173.7785135725</v>
      </c>
      <c r="H1164" t="s">
        <v>41</v>
      </c>
      <c r="I1164" t="s">
        <v>2502</v>
      </c>
      <c r="J1164" t="s">
        <v>2075</v>
      </c>
      <c r="K1164">
        <v>14.66</v>
      </c>
      <c r="L1164">
        <v>2.468</v>
      </c>
      <c r="M1164" s="1">
        <v>100</v>
      </c>
      <c r="N1164" s="1" t="s">
        <v>2698</v>
      </c>
    </row>
    <row r="1165" spans="1:14" x14ac:dyDescent="0.25">
      <c r="A1165" t="s">
        <v>2676</v>
      </c>
      <c r="B1165" t="s">
        <v>2105</v>
      </c>
      <c r="C1165" t="s">
        <v>3362</v>
      </c>
      <c r="D1165" s="2">
        <v>2.7424046702291101E-2</v>
      </c>
      <c r="E1165" s="3">
        <v>8641069.70014349</v>
      </c>
      <c r="F1165" s="3">
        <f t="shared" si="9"/>
        <v>1440178.2833572484</v>
      </c>
      <c r="G1165" s="3">
        <f t="shared" si="8"/>
        <v>720089.1416786242</v>
      </c>
      <c r="H1165" t="s">
        <v>130</v>
      </c>
      <c r="I1165" t="s">
        <v>2504</v>
      </c>
      <c r="J1165" t="s">
        <v>538</v>
      </c>
      <c r="K1165">
        <v>11.48</v>
      </c>
      <c r="L1165">
        <v>2.4420000000000002</v>
      </c>
      <c r="M1165" s="1">
        <v>100</v>
      </c>
      <c r="N1165" s="1" t="s">
        <v>2698</v>
      </c>
    </row>
    <row r="1166" spans="1:14" x14ac:dyDescent="0.25">
      <c r="A1166" t="s">
        <v>1794</v>
      </c>
      <c r="B1166" t="s">
        <v>2105</v>
      </c>
      <c r="C1166" t="s">
        <v>3362</v>
      </c>
      <c r="D1166" s="2">
        <v>3.0344192870301E-2</v>
      </c>
      <c r="E1166" s="3">
        <v>3080009.3816660801</v>
      </c>
      <c r="F1166" s="3">
        <f t="shared" si="9"/>
        <v>513334.89694434666</v>
      </c>
      <c r="G1166" s="3">
        <f t="shared" si="8"/>
        <v>256667.44847217333</v>
      </c>
      <c r="H1166" t="s">
        <v>240</v>
      </c>
      <c r="I1166" t="s">
        <v>1554</v>
      </c>
      <c r="J1166" t="s">
        <v>2062</v>
      </c>
      <c r="K1166">
        <v>12.11</v>
      </c>
      <c r="L1166">
        <v>2.488</v>
      </c>
      <c r="M1166" s="1">
        <v>100</v>
      </c>
      <c r="N1166" s="1" t="s">
        <v>2698</v>
      </c>
    </row>
    <row r="1167" spans="1:14" x14ac:dyDescent="0.25">
      <c r="A1167" t="s">
        <v>1795</v>
      </c>
      <c r="B1167" t="s">
        <v>2105</v>
      </c>
      <c r="C1167" t="s">
        <v>3362</v>
      </c>
      <c r="D1167" s="2">
        <v>2.6834178499153899E-2</v>
      </c>
      <c r="E1167" s="3">
        <v>6035690.5923065804</v>
      </c>
      <c r="F1167" s="3">
        <f t="shared" si="9"/>
        <v>1005948.4320510967</v>
      </c>
      <c r="G1167" s="3">
        <f t="shared" si="8"/>
        <v>502974.21602554835</v>
      </c>
      <c r="H1167" t="s">
        <v>893</v>
      </c>
      <c r="I1167" t="s">
        <v>1417</v>
      </c>
      <c r="J1167" t="s">
        <v>2508</v>
      </c>
      <c r="K1167">
        <v>11.48</v>
      </c>
      <c r="L1167">
        <v>2.5169999999999999</v>
      </c>
      <c r="M1167" s="1">
        <v>100</v>
      </c>
      <c r="N1167" s="1" t="s">
        <v>2698</v>
      </c>
    </row>
    <row r="1168" spans="1:14" x14ac:dyDescent="0.25">
      <c r="A1168" t="s">
        <v>2677</v>
      </c>
      <c r="B1168" t="s">
        <v>2105</v>
      </c>
      <c r="C1168" t="s">
        <v>3362</v>
      </c>
      <c r="D1168" s="2">
        <v>2.7142297001321598E-2</v>
      </c>
      <c r="E1168" s="3">
        <v>4997724.8552089799</v>
      </c>
      <c r="F1168" s="3">
        <f t="shared" si="9"/>
        <v>832954.14253483003</v>
      </c>
      <c r="G1168" s="3">
        <f t="shared" si="8"/>
        <v>416477.07126741501</v>
      </c>
      <c r="H1168" t="s">
        <v>71</v>
      </c>
      <c r="I1168" t="s">
        <v>2511</v>
      </c>
      <c r="J1168" t="s">
        <v>1130</v>
      </c>
      <c r="K1168">
        <v>15.94</v>
      </c>
      <c r="L1168">
        <v>2.625</v>
      </c>
      <c r="M1168" s="1">
        <v>100</v>
      </c>
      <c r="N1168" s="1" t="s">
        <v>2698</v>
      </c>
    </row>
    <row r="1169" spans="1:14" x14ac:dyDescent="0.25">
      <c r="A1169" t="s">
        <v>2678</v>
      </c>
      <c r="B1169" t="s">
        <v>2105</v>
      </c>
      <c r="C1169" t="s">
        <v>3362</v>
      </c>
      <c r="D1169" s="2">
        <v>3.0677661839637702E-2</v>
      </c>
      <c r="E1169" s="3">
        <v>2816075.6630477998</v>
      </c>
      <c r="F1169" s="3">
        <f t="shared" si="9"/>
        <v>469345.94384129997</v>
      </c>
      <c r="G1169" s="3">
        <f t="shared" si="8"/>
        <v>234672.97192064999</v>
      </c>
      <c r="H1169" t="s">
        <v>136</v>
      </c>
      <c r="I1169" t="s">
        <v>2514</v>
      </c>
      <c r="J1169" t="s">
        <v>2068</v>
      </c>
      <c r="K1169">
        <v>14.66</v>
      </c>
      <c r="L1169">
        <v>2.6349999999999998</v>
      </c>
      <c r="M1169" s="1">
        <v>100</v>
      </c>
      <c r="N1169" s="1" t="s">
        <v>2698</v>
      </c>
    </row>
    <row r="1170" spans="1:14" x14ac:dyDescent="0.25">
      <c r="A1170" t="s">
        <v>2679</v>
      </c>
      <c r="B1170" t="s">
        <v>2105</v>
      </c>
      <c r="C1170" t="s">
        <v>3362</v>
      </c>
      <c r="D1170" s="2">
        <v>2.6860618512950799E-2</v>
      </c>
      <c r="E1170" s="3">
        <v>5819451.2920040796</v>
      </c>
      <c r="F1170" s="3">
        <f t="shared" si="9"/>
        <v>969908.54866734659</v>
      </c>
      <c r="G1170" s="3">
        <f t="shared" si="8"/>
        <v>484954.2743336733</v>
      </c>
      <c r="H1170" t="s">
        <v>198</v>
      </c>
      <c r="I1170" t="s">
        <v>1074</v>
      </c>
      <c r="J1170" t="s">
        <v>160</v>
      </c>
      <c r="K1170">
        <v>13.39</v>
      </c>
      <c r="L1170">
        <v>2.5379999999999998</v>
      </c>
      <c r="M1170" s="1">
        <v>100</v>
      </c>
      <c r="N1170" s="1" t="s">
        <v>2698</v>
      </c>
    </row>
    <row r="1171" spans="1:14" x14ac:dyDescent="0.25">
      <c r="A1171" t="s">
        <v>1799</v>
      </c>
      <c r="B1171" t="s">
        <v>2105</v>
      </c>
      <c r="C1171" t="s">
        <v>3362</v>
      </c>
      <c r="D1171" s="2">
        <v>3.5800170513055403E-2</v>
      </c>
      <c r="E1171" s="3">
        <v>1966764.09862118</v>
      </c>
      <c r="F1171" s="3">
        <f t="shared" si="9"/>
        <v>327794.01643686334</v>
      </c>
      <c r="G1171" s="3">
        <f t="shared" si="8"/>
        <v>163897.00821843167</v>
      </c>
      <c r="H1171" t="s">
        <v>2518</v>
      </c>
      <c r="I1171" t="s">
        <v>2519</v>
      </c>
      <c r="J1171" t="s">
        <v>2520</v>
      </c>
      <c r="K1171">
        <v>10.84</v>
      </c>
      <c r="L1171">
        <v>2.4740000000000002</v>
      </c>
      <c r="M1171" s="1">
        <v>100</v>
      </c>
      <c r="N1171" s="1" t="s">
        <v>2698</v>
      </c>
    </row>
    <row r="1172" spans="1:14" x14ac:dyDescent="0.25">
      <c r="A1172" t="s">
        <v>1801</v>
      </c>
      <c r="B1172" t="s">
        <v>2105</v>
      </c>
      <c r="C1172" t="s">
        <v>3362</v>
      </c>
      <c r="D1172" s="2">
        <v>2.8588944435312201E-2</v>
      </c>
      <c r="E1172" s="3">
        <v>3996501.42128465</v>
      </c>
      <c r="F1172" s="3">
        <f t="shared" si="9"/>
        <v>666083.57021410833</v>
      </c>
      <c r="G1172" s="3">
        <f t="shared" si="8"/>
        <v>333041.78510705417</v>
      </c>
      <c r="H1172" t="s">
        <v>227</v>
      </c>
      <c r="I1172" t="s">
        <v>2523</v>
      </c>
      <c r="J1172" t="s">
        <v>2524</v>
      </c>
      <c r="K1172">
        <v>13.39</v>
      </c>
      <c r="L1172">
        <v>2.4119999999999999</v>
      </c>
      <c r="M1172" s="1">
        <v>100</v>
      </c>
      <c r="N1172" s="1" t="s">
        <v>2698</v>
      </c>
    </row>
    <row r="1173" spans="1:14" x14ac:dyDescent="0.25">
      <c r="A1173" t="s">
        <v>1802</v>
      </c>
      <c r="B1173" t="s">
        <v>2105</v>
      </c>
      <c r="C1173" t="s">
        <v>3362</v>
      </c>
      <c r="D1173" s="2">
        <v>2.93979253635899E-2</v>
      </c>
      <c r="E1173" s="3">
        <v>3499669.5303803799</v>
      </c>
      <c r="F1173" s="3">
        <f t="shared" si="9"/>
        <v>583278.25506339665</v>
      </c>
      <c r="G1173" s="3">
        <f t="shared" si="8"/>
        <v>291639.12753169832</v>
      </c>
      <c r="H1173" t="s">
        <v>124</v>
      </c>
      <c r="I1173" t="s">
        <v>2527</v>
      </c>
      <c r="J1173" t="s">
        <v>2528</v>
      </c>
      <c r="K1173">
        <v>13.39</v>
      </c>
      <c r="L1173">
        <v>2.4670000000000001</v>
      </c>
      <c r="M1173" s="1">
        <v>100</v>
      </c>
      <c r="N1173" s="1" t="s">
        <v>2698</v>
      </c>
    </row>
    <row r="1174" spans="1:14" x14ac:dyDescent="0.25">
      <c r="A1174" t="s">
        <v>2077</v>
      </c>
      <c r="B1174" t="s">
        <v>2105</v>
      </c>
      <c r="C1174" t="s">
        <v>3362</v>
      </c>
      <c r="D1174" s="2">
        <v>3.1170039843891301E-2</v>
      </c>
      <c r="E1174" s="3">
        <v>2771968.0391935501</v>
      </c>
      <c r="F1174" s="3">
        <f t="shared" si="9"/>
        <v>461994.67319892504</v>
      </c>
      <c r="G1174" s="3">
        <f t="shared" ref="G1174:G1199" si="10">F1174/2</f>
        <v>230997.33659946252</v>
      </c>
      <c r="H1174" t="s">
        <v>150</v>
      </c>
      <c r="I1174" t="s">
        <v>2531</v>
      </c>
      <c r="J1174" t="s">
        <v>2532</v>
      </c>
      <c r="K1174">
        <v>14.03</v>
      </c>
      <c r="L1174">
        <v>2.5379999999999998</v>
      </c>
      <c r="M1174" s="1">
        <v>100</v>
      </c>
      <c r="N1174" s="1" t="s">
        <v>2698</v>
      </c>
    </row>
    <row r="1175" spans="1:14" x14ac:dyDescent="0.25">
      <c r="A1175" t="s">
        <v>2680</v>
      </c>
      <c r="B1175" t="s">
        <v>2105</v>
      </c>
      <c r="C1175" t="s">
        <v>3362</v>
      </c>
      <c r="D1175" s="2">
        <v>3.9666548590095503E-2</v>
      </c>
      <c r="E1175" s="3">
        <v>1401615.5390622001</v>
      </c>
      <c r="F1175" s="3">
        <f t="shared" si="9"/>
        <v>233602.58984370003</v>
      </c>
      <c r="G1175" s="3">
        <f t="shared" si="10"/>
        <v>116801.29492185001</v>
      </c>
      <c r="H1175" t="s">
        <v>815</v>
      </c>
      <c r="I1175" t="s">
        <v>471</v>
      </c>
      <c r="J1175" t="s">
        <v>2534</v>
      </c>
      <c r="K1175">
        <v>12.75</v>
      </c>
      <c r="L1175">
        <v>2.61</v>
      </c>
      <c r="M1175" s="1">
        <v>100</v>
      </c>
      <c r="N1175" s="1" t="s">
        <v>2698</v>
      </c>
    </row>
    <row r="1176" spans="1:14" x14ac:dyDescent="0.25">
      <c r="A1176" t="s">
        <v>1945</v>
      </c>
      <c r="B1176" t="s">
        <v>2105</v>
      </c>
      <c r="C1176" t="s">
        <v>3362</v>
      </c>
      <c r="D1176" s="2">
        <v>2.7661256311872499E-2</v>
      </c>
      <c r="E1176" s="3">
        <v>8470921.6755325403</v>
      </c>
      <c r="F1176" s="3">
        <f t="shared" si="9"/>
        <v>1411820.2792554235</v>
      </c>
      <c r="G1176" s="3">
        <f t="shared" si="10"/>
        <v>705910.13962771173</v>
      </c>
      <c r="H1176" t="s">
        <v>76</v>
      </c>
      <c r="I1176" t="s">
        <v>1353</v>
      </c>
      <c r="J1176" t="s">
        <v>2406</v>
      </c>
      <c r="K1176">
        <v>12.75</v>
      </c>
      <c r="L1176">
        <v>2.5979999999999999</v>
      </c>
      <c r="M1176" s="1">
        <v>100</v>
      </c>
      <c r="N1176" s="1" t="s">
        <v>2698</v>
      </c>
    </row>
    <row r="1177" spans="1:14" x14ac:dyDescent="0.25">
      <c r="A1177" t="s">
        <v>1946</v>
      </c>
      <c r="B1177" t="s">
        <v>2105</v>
      </c>
      <c r="C1177" t="s">
        <v>3362</v>
      </c>
      <c r="D1177" s="2">
        <v>4.1169693301938703E-2</v>
      </c>
      <c r="E1177" s="3">
        <v>1328307.19206888</v>
      </c>
      <c r="F1177" s="3">
        <f t="shared" si="9"/>
        <v>221384.53201147998</v>
      </c>
      <c r="G1177" s="3">
        <f t="shared" si="10"/>
        <v>110692.26600573999</v>
      </c>
      <c r="H1177" t="s">
        <v>2539</v>
      </c>
      <c r="I1177" t="s">
        <v>1130</v>
      </c>
      <c r="J1177" t="s">
        <v>2540</v>
      </c>
      <c r="K1177">
        <v>15.3</v>
      </c>
      <c r="L1177">
        <v>2.516</v>
      </c>
      <c r="M1177" s="1">
        <v>100</v>
      </c>
      <c r="N1177" s="1" t="s">
        <v>2698</v>
      </c>
    </row>
    <row r="1178" spans="1:14" x14ac:dyDescent="0.25">
      <c r="A1178" t="s">
        <v>2681</v>
      </c>
      <c r="B1178" t="s">
        <v>2105</v>
      </c>
      <c r="C1178" t="s">
        <v>3362</v>
      </c>
      <c r="D1178" s="2">
        <v>7.2077070068735496E-2</v>
      </c>
      <c r="E1178" s="3">
        <v>392766.82484265801</v>
      </c>
      <c r="F1178" s="3">
        <f t="shared" si="9"/>
        <v>65461.137473776333</v>
      </c>
      <c r="G1178" s="3">
        <f t="shared" si="10"/>
        <v>32730.568736888166</v>
      </c>
      <c r="H1178" t="s">
        <v>222</v>
      </c>
      <c r="I1178" t="s">
        <v>2418</v>
      </c>
      <c r="J1178" t="s">
        <v>1335</v>
      </c>
      <c r="K1178">
        <v>14.66</v>
      </c>
      <c r="L1178">
        <v>2.4319999999999999</v>
      </c>
      <c r="M1178" s="1">
        <v>100</v>
      </c>
      <c r="N1178" s="1" t="s">
        <v>2698</v>
      </c>
    </row>
    <row r="1179" spans="1:14" x14ac:dyDescent="0.25">
      <c r="A1179" t="s">
        <v>2682</v>
      </c>
      <c r="B1179" t="s">
        <v>2105</v>
      </c>
      <c r="C1179" t="s">
        <v>3362</v>
      </c>
      <c r="D1179" s="2">
        <v>2.6899906228177499E-2</v>
      </c>
      <c r="E1179" s="3">
        <v>5956980.9496024596</v>
      </c>
      <c r="F1179" s="3">
        <f t="shared" si="9"/>
        <v>992830.15826707659</v>
      </c>
      <c r="G1179" s="3">
        <f t="shared" si="10"/>
        <v>496415.0791335383</v>
      </c>
      <c r="H1179" t="s">
        <v>124</v>
      </c>
      <c r="I1179" t="s">
        <v>2543</v>
      </c>
      <c r="J1179" t="s">
        <v>2544</v>
      </c>
      <c r="K1179">
        <v>15.94</v>
      </c>
      <c r="L1179">
        <v>2.4329999999999998</v>
      </c>
      <c r="M1179" s="1">
        <v>100</v>
      </c>
      <c r="N1179" s="1" t="s">
        <v>2698</v>
      </c>
    </row>
    <row r="1180" spans="1:14" x14ac:dyDescent="0.25">
      <c r="A1180" t="s">
        <v>1950</v>
      </c>
      <c r="B1180" t="s">
        <v>2105</v>
      </c>
      <c r="C1180" t="s">
        <v>3362</v>
      </c>
      <c r="D1180" s="2">
        <v>2.7904698987966998E-2</v>
      </c>
      <c r="E1180" s="3">
        <v>4485256.9964987496</v>
      </c>
      <c r="F1180" s="3">
        <f t="shared" ref="F1180:F1199" si="11">E1180/6</f>
        <v>747542.83274979156</v>
      </c>
      <c r="G1180" s="3">
        <f t="shared" si="10"/>
        <v>373771.41637489578</v>
      </c>
      <c r="H1180" t="s">
        <v>76</v>
      </c>
      <c r="I1180" t="s">
        <v>2545</v>
      </c>
      <c r="J1180" t="s">
        <v>2546</v>
      </c>
      <c r="K1180">
        <v>11.48</v>
      </c>
      <c r="L1180">
        <v>2.4300000000000002</v>
      </c>
      <c r="M1180" s="1">
        <v>100</v>
      </c>
      <c r="N1180" s="1" t="s">
        <v>2698</v>
      </c>
    </row>
    <row r="1181" spans="1:14" x14ac:dyDescent="0.25">
      <c r="A1181" t="s">
        <v>2683</v>
      </c>
      <c r="B1181" t="s">
        <v>2105</v>
      </c>
      <c r="C1181" t="s">
        <v>3362</v>
      </c>
      <c r="D1181" s="2">
        <v>2.7473258198241601E-2</v>
      </c>
      <c r="E1181" s="3">
        <v>8674557.6267284993</v>
      </c>
      <c r="F1181" s="3">
        <f t="shared" si="11"/>
        <v>1445759.60445475</v>
      </c>
      <c r="G1181" s="3">
        <f t="shared" si="10"/>
        <v>722879.80222737498</v>
      </c>
      <c r="H1181" t="s">
        <v>284</v>
      </c>
      <c r="I1181" t="s">
        <v>2549</v>
      </c>
      <c r="J1181" t="s">
        <v>2550</v>
      </c>
      <c r="K1181">
        <v>14.66</v>
      </c>
      <c r="L1181">
        <v>2.4580000000000002</v>
      </c>
      <c r="M1181" s="1">
        <v>100</v>
      </c>
      <c r="N1181" s="1" t="s">
        <v>2698</v>
      </c>
    </row>
    <row r="1182" spans="1:14" x14ac:dyDescent="0.25">
      <c r="A1182" t="s">
        <v>2684</v>
      </c>
      <c r="B1182" t="s">
        <v>2105</v>
      </c>
      <c r="C1182" t="s">
        <v>3362</v>
      </c>
      <c r="D1182" s="2">
        <v>2.8151195538978602E-2</v>
      </c>
      <c r="E1182" s="3">
        <v>4158647.6695845001</v>
      </c>
      <c r="F1182" s="3">
        <f t="shared" si="11"/>
        <v>693107.94493075006</v>
      </c>
      <c r="G1182" s="3">
        <f t="shared" si="10"/>
        <v>346553.97246537503</v>
      </c>
      <c r="H1182" t="s">
        <v>324</v>
      </c>
      <c r="I1182" t="s">
        <v>2551</v>
      </c>
      <c r="J1182" t="s">
        <v>2552</v>
      </c>
      <c r="K1182">
        <v>15.3</v>
      </c>
      <c r="L1182">
        <v>2.5009999999999999</v>
      </c>
      <c r="M1182" s="1">
        <v>100</v>
      </c>
      <c r="N1182" s="1" t="s">
        <v>2698</v>
      </c>
    </row>
    <row r="1183" spans="1:14" x14ac:dyDescent="0.25">
      <c r="A1183" t="s">
        <v>1953</v>
      </c>
      <c r="B1183" t="s">
        <v>2105</v>
      </c>
      <c r="C1183" t="s">
        <v>3362</v>
      </c>
      <c r="D1183" s="2">
        <v>4.4345527509052102E-2</v>
      </c>
      <c r="E1183" s="3">
        <v>1076010.0028472799</v>
      </c>
      <c r="F1183" s="3">
        <f t="shared" si="11"/>
        <v>179335.00047454666</v>
      </c>
      <c r="G1183" s="3">
        <f t="shared" si="10"/>
        <v>89667.500237273329</v>
      </c>
      <c r="H1183" t="s">
        <v>521</v>
      </c>
      <c r="I1183" t="s">
        <v>2555</v>
      </c>
      <c r="J1183" t="s">
        <v>2556</v>
      </c>
      <c r="K1183">
        <v>12.11</v>
      </c>
      <c r="L1183">
        <v>2.6139999999999999</v>
      </c>
      <c r="M1183" s="1">
        <v>100</v>
      </c>
      <c r="N1183" s="1" t="s">
        <v>2698</v>
      </c>
    </row>
    <row r="1184" spans="1:14" x14ac:dyDescent="0.25">
      <c r="A1184" t="s">
        <v>2685</v>
      </c>
      <c r="B1184" t="s">
        <v>2105</v>
      </c>
      <c r="C1184" t="s">
        <v>3362</v>
      </c>
      <c r="D1184" s="2">
        <v>3.2456779175962902E-2</v>
      </c>
      <c r="E1184" s="3">
        <v>2356155.06804513</v>
      </c>
      <c r="F1184" s="3">
        <f t="shared" si="11"/>
        <v>392692.51134085498</v>
      </c>
      <c r="G1184" s="3">
        <f t="shared" si="10"/>
        <v>196346.25567042749</v>
      </c>
      <c r="H1184" t="s">
        <v>150</v>
      </c>
      <c r="I1184" t="s">
        <v>2559</v>
      </c>
      <c r="J1184" t="s">
        <v>2560</v>
      </c>
      <c r="K1184">
        <v>15.3</v>
      </c>
      <c r="L1184">
        <v>2.6320000000000001</v>
      </c>
      <c r="M1184" s="1">
        <v>100</v>
      </c>
      <c r="N1184" s="1" t="s">
        <v>2698</v>
      </c>
    </row>
    <row r="1185" spans="1:14" x14ac:dyDescent="0.25">
      <c r="A1185" t="s">
        <v>1955</v>
      </c>
      <c r="B1185" t="s">
        <v>2105</v>
      </c>
      <c r="C1185" t="s">
        <v>3362</v>
      </c>
      <c r="D1185" s="2">
        <v>2.70438752212495E-2</v>
      </c>
      <c r="E1185" s="3">
        <v>7448072.1453656796</v>
      </c>
      <c r="F1185" s="3">
        <f t="shared" si="11"/>
        <v>1241345.3575609466</v>
      </c>
      <c r="G1185" s="3">
        <f t="shared" si="10"/>
        <v>620672.6787804733</v>
      </c>
      <c r="H1185" t="s">
        <v>169</v>
      </c>
      <c r="I1185" t="s">
        <v>1406</v>
      </c>
      <c r="J1185" t="s">
        <v>2562</v>
      </c>
      <c r="K1185">
        <v>10.199999999999999</v>
      </c>
      <c r="L1185">
        <v>2.5659999999999998</v>
      </c>
      <c r="M1185" s="1">
        <v>100</v>
      </c>
      <c r="N1185" s="1" t="s">
        <v>2698</v>
      </c>
    </row>
    <row r="1186" spans="1:14" x14ac:dyDescent="0.25">
      <c r="A1186" t="s">
        <v>1956</v>
      </c>
      <c r="B1186" t="s">
        <v>2105</v>
      </c>
      <c r="C1186" t="s">
        <v>3362</v>
      </c>
      <c r="D1186" s="2">
        <v>2.88915925792711E-2</v>
      </c>
      <c r="E1186" s="3">
        <v>10372179.613638001</v>
      </c>
      <c r="F1186" s="3">
        <f t="shared" si="11"/>
        <v>1728696.6022730002</v>
      </c>
      <c r="G1186" s="3">
        <f t="shared" si="10"/>
        <v>864348.30113650009</v>
      </c>
      <c r="H1186" t="s">
        <v>198</v>
      </c>
      <c r="I1186" t="s">
        <v>2065</v>
      </c>
      <c r="J1186" t="s">
        <v>2564</v>
      </c>
      <c r="K1186">
        <v>13.39</v>
      </c>
      <c r="L1186">
        <v>2.4660000000000002</v>
      </c>
      <c r="M1186" s="1">
        <v>100</v>
      </c>
      <c r="N1186" s="1" t="s">
        <v>2698</v>
      </c>
    </row>
    <row r="1187" spans="1:14" x14ac:dyDescent="0.25">
      <c r="A1187" t="s">
        <v>1958</v>
      </c>
      <c r="B1187" t="s">
        <v>2105</v>
      </c>
      <c r="C1187" t="s">
        <v>3362</v>
      </c>
      <c r="D1187" s="2">
        <v>2.97673707217221E-2</v>
      </c>
      <c r="E1187" s="3">
        <v>3302422.2422110899</v>
      </c>
      <c r="F1187" s="3">
        <f t="shared" si="11"/>
        <v>550403.70703518169</v>
      </c>
      <c r="G1187" s="3">
        <f t="shared" si="10"/>
        <v>275201.85351759085</v>
      </c>
      <c r="H1187" t="s">
        <v>38</v>
      </c>
      <c r="I1187" t="s">
        <v>2567</v>
      </c>
      <c r="J1187" t="s">
        <v>2568</v>
      </c>
      <c r="K1187">
        <v>13.39</v>
      </c>
      <c r="L1187">
        <v>2.4830000000000001</v>
      </c>
      <c r="M1187" s="1">
        <v>100</v>
      </c>
      <c r="N1187" s="1" t="s">
        <v>2698</v>
      </c>
    </row>
    <row r="1188" spans="1:14" x14ac:dyDescent="0.25">
      <c r="A1188" t="s">
        <v>1959</v>
      </c>
      <c r="B1188" t="s">
        <v>2105</v>
      </c>
      <c r="C1188" t="s">
        <v>3362</v>
      </c>
      <c r="D1188" s="2">
        <v>3.4083523109320599E-2</v>
      </c>
      <c r="E1188" s="3">
        <v>2186780.1987776002</v>
      </c>
      <c r="F1188" s="3">
        <f t="shared" si="11"/>
        <v>364463.36646293337</v>
      </c>
      <c r="G1188" s="3">
        <f t="shared" si="10"/>
        <v>182231.68323146668</v>
      </c>
      <c r="H1188" t="s">
        <v>898</v>
      </c>
      <c r="I1188" t="s">
        <v>2571</v>
      </c>
      <c r="J1188" t="s">
        <v>2572</v>
      </c>
      <c r="K1188">
        <v>10.199999999999999</v>
      </c>
      <c r="L1188">
        <v>2.4489999999999998</v>
      </c>
      <c r="M1188" s="1">
        <v>100</v>
      </c>
      <c r="N1188" s="1" t="s">
        <v>2698</v>
      </c>
    </row>
    <row r="1189" spans="1:14" x14ac:dyDescent="0.25">
      <c r="A1189" t="s">
        <v>1960</v>
      </c>
      <c r="B1189" t="s">
        <v>2105</v>
      </c>
      <c r="C1189" t="s">
        <v>3362</v>
      </c>
      <c r="D1189" s="2">
        <v>3.3964590554317199E-2</v>
      </c>
      <c r="E1189" s="3">
        <v>2204596.9901533602</v>
      </c>
      <c r="F1189" s="3">
        <f t="shared" si="11"/>
        <v>367432.8316922267</v>
      </c>
      <c r="G1189" s="3">
        <f t="shared" si="10"/>
        <v>183716.41584611335</v>
      </c>
      <c r="H1189" t="s">
        <v>76</v>
      </c>
      <c r="I1189" t="s">
        <v>2575</v>
      </c>
      <c r="J1189" t="s">
        <v>2576</v>
      </c>
      <c r="K1189">
        <v>12.75</v>
      </c>
      <c r="L1189">
        <v>2.464</v>
      </c>
      <c r="M1189" s="1">
        <v>100</v>
      </c>
      <c r="N1189" s="1" t="s">
        <v>2698</v>
      </c>
    </row>
    <row r="1190" spans="1:14" x14ac:dyDescent="0.25">
      <c r="A1190" t="s">
        <v>1961</v>
      </c>
      <c r="B1190" t="s">
        <v>2105</v>
      </c>
      <c r="C1190" t="s">
        <v>3362</v>
      </c>
      <c r="D1190" s="2">
        <v>7.0433601407630095E-2</v>
      </c>
      <c r="E1190" s="3">
        <v>400099.68935495598</v>
      </c>
      <c r="F1190" s="3">
        <f t="shared" si="11"/>
        <v>66683.281559159324</v>
      </c>
      <c r="G1190" s="3">
        <f t="shared" si="10"/>
        <v>33341.640779579662</v>
      </c>
      <c r="H1190" t="s">
        <v>169</v>
      </c>
      <c r="I1190" t="s">
        <v>2577</v>
      </c>
      <c r="J1190" t="s">
        <v>2578</v>
      </c>
      <c r="K1190">
        <v>10.84</v>
      </c>
      <c r="L1190">
        <v>2.5150000000000001</v>
      </c>
      <c r="M1190" s="1">
        <v>100</v>
      </c>
      <c r="N1190" s="1" t="s">
        <v>2698</v>
      </c>
    </row>
    <row r="1191" spans="1:14" x14ac:dyDescent="0.25">
      <c r="A1191" t="s">
        <v>2686</v>
      </c>
      <c r="B1191" t="s">
        <v>2105</v>
      </c>
      <c r="C1191" t="s">
        <v>3362</v>
      </c>
      <c r="D1191" s="2">
        <v>3.7420947626744097E-2</v>
      </c>
      <c r="E1191" s="3">
        <v>1627127.8817352699</v>
      </c>
      <c r="F1191" s="3">
        <f t="shared" si="11"/>
        <v>271187.98028921167</v>
      </c>
      <c r="G1191" s="3">
        <f t="shared" si="10"/>
        <v>135593.99014460584</v>
      </c>
      <c r="H1191" t="s">
        <v>195</v>
      </c>
      <c r="I1191" t="s">
        <v>2580</v>
      </c>
      <c r="J1191" t="s">
        <v>2581</v>
      </c>
      <c r="K1191">
        <v>10.84</v>
      </c>
      <c r="L1191">
        <v>2.6269999999999998</v>
      </c>
      <c r="M1191" s="1">
        <v>100</v>
      </c>
      <c r="N1191" s="1" t="s">
        <v>2698</v>
      </c>
    </row>
    <row r="1192" spans="1:14" x14ac:dyDescent="0.25">
      <c r="A1192" t="s">
        <v>1963</v>
      </c>
      <c r="B1192" t="s">
        <v>2105</v>
      </c>
      <c r="C1192" t="s">
        <v>3362</v>
      </c>
      <c r="D1192" s="2">
        <v>3.0971069667944599E-2</v>
      </c>
      <c r="E1192" s="3">
        <v>2739416.7563386499</v>
      </c>
      <c r="F1192" s="3">
        <f t="shared" si="11"/>
        <v>456569.459389775</v>
      </c>
      <c r="G1192" s="3">
        <f t="shared" si="10"/>
        <v>228284.7296948875</v>
      </c>
      <c r="H1192" t="s">
        <v>71</v>
      </c>
      <c r="I1192" t="s">
        <v>2584</v>
      </c>
      <c r="J1192" t="s">
        <v>2585</v>
      </c>
      <c r="K1192">
        <v>13.39</v>
      </c>
      <c r="L1192">
        <v>2.6219999999999999</v>
      </c>
      <c r="M1192" s="1">
        <v>100</v>
      </c>
      <c r="N1192" s="1" t="s">
        <v>2698</v>
      </c>
    </row>
    <row r="1193" spans="1:14" x14ac:dyDescent="0.25">
      <c r="A1193" t="s">
        <v>1965</v>
      </c>
      <c r="B1193" t="s">
        <v>2105</v>
      </c>
      <c r="C1193" t="s">
        <v>3362</v>
      </c>
      <c r="D1193" s="2">
        <v>2.86385862893308E-2</v>
      </c>
      <c r="E1193" s="3">
        <v>3890660.8528082101</v>
      </c>
      <c r="F1193" s="3">
        <f t="shared" si="11"/>
        <v>648443.47546803497</v>
      </c>
      <c r="G1193" s="3">
        <f t="shared" si="10"/>
        <v>324221.73773401749</v>
      </c>
      <c r="H1193" t="s">
        <v>56</v>
      </c>
      <c r="I1193" t="s">
        <v>2588</v>
      </c>
      <c r="J1193" t="s">
        <v>2589</v>
      </c>
      <c r="K1193">
        <v>11.48</v>
      </c>
      <c r="L1193">
        <v>2.4660000000000002</v>
      </c>
      <c r="M1193" s="1">
        <v>100</v>
      </c>
      <c r="N1193" s="1" t="s">
        <v>2698</v>
      </c>
    </row>
    <row r="1194" spans="1:14" x14ac:dyDescent="0.25">
      <c r="A1194" t="s">
        <v>1966</v>
      </c>
      <c r="B1194" t="s">
        <v>2105</v>
      </c>
      <c r="C1194" t="s">
        <v>3362</v>
      </c>
      <c r="D1194" s="2">
        <v>2.7647681451995702E-2</v>
      </c>
      <c r="E1194" s="3">
        <v>4632721.6227560099</v>
      </c>
      <c r="F1194" s="3">
        <f t="shared" si="11"/>
        <v>772120.27045933495</v>
      </c>
      <c r="G1194" s="3">
        <f t="shared" si="10"/>
        <v>386060.13522966747</v>
      </c>
      <c r="H1194" t="s">
        <v>150</v>
      </c>
      <c r="I1194" t="s">
        <v>2591</v>
      </c>
      <c r="J1194" t="s">
        <v>2592</v>
      </c>
      <c r="K1194">
        <v>11.48</v>
      </c>
      <c r="L1194">
        <v>2.4820000000000002</v>
      </c>
      <c r="M1194" s="1">
        <v>100</v>
      </c>
      <c r="N1194" s="1" t="s">
        <v>2698</v>
      </c>
    </row>
    <row r="1195" spans="1:14" x14ac:dyDescent="0.25">
      <c r="A1195" t="s">
        <v>2687</v>
      </c>
      <c r="B1195" t="s">
        <v>2105</v>
      </c>
      <c r="C1195" t="s">
        <v>3362</v>
      </c>
      <c r="D1195" s="2">
        <v>2.7134468158429299E-2</v>
      </c>
      <c r="E1195" s="3">
        <v>5288630.1327312402</v>
      </c>
      <c r="F1195" s="3">
        <f t="shared" si="11"/>
        <v>881438.35545520671</v>
      </c>
      <c r="G1195" s="3">
        <f t="shared" si="10"/>
        <v>440719.17772760335</v>
      </c>
      <c r="H1195" t="s">
        <v>130</v>
      </c>
      <c r="I1195" t="s">
        <v>2593</v>
      </c>
      <c r="J1195" t="s">
        <v>2594</v>
      </c>
      <c r="K1195">
        <v>15.3</v>
      </c>
      <c r="L1195">
        <v>2.4830000000000001</v>
      </c>
      <c r="M1195" s="1">
        <v>100</v>
      </c>
      <c r="N1195" s="1" t="s">
        <v>2698</v>
      </c>
    </row>
    <row r="1196" spans="1:14" x14ac:dyDescent="0.25">
      <c r="A1196" t="s">
        <v>1968</v>
      </c>
      <c r="B1196" t="s">
        <v>2105</v>
      </c>
      <c r="C1196" t="s">
        <v>3362</v>
      </c>
      <c r="D1196" s="2">
        <v>4.0717431038506897E-2</v>
      </c>
      <c r="E1196" s="3">
        <v>1403203.5763107</v>
      </c>
      <c r="F1196" s="3">
        <f t="shared" si="11"/>
        <v>233867.26271845002</v>
      </c>
      <c r="G1196" s="3">
        <f t="shared" si="10"/>
        <v>116933.63135922501</v>
      </c>
      <c r="H1196" t="s">
        <v>127</v>
      </c>
      <c r="I1196" t="s">
        <v>2597</v>
      </c>
      <c r="J1196" t="s">
        <v>2598</v>
      </c>
      <c r="K1196">
        <v>11.48</v>
      </c>
      <c r="L1196">
        <v>2.4329999999999998</v>
      </c>
      <c r="M1196" s="1">
        <v>100</v>
      </c>
      <c r="N1196" s="1" t="s">
        <v>2698</v>
      </c>
    </row>
    <row r="1197" spans="1:14" x14ac:dyDescent="0.25">
      <c r="A1197" t="s">
        <v>1970</v>
      </c>
      <c r="B1197" t="s">
        <v>2105</v>
      </c>
      <c r="C1197" t="s">
        <v>3362</v>
      </c>
      <c r="D1197" s="2">
        <v>2.7186655628138798E-2</v>
      </c>
      <c r="E1197" s="3">
        <v>5157928.5699623497</v>
      </c>
      <c r="F1197" s="3">
        <f t="shared" si="11"/>
        <v>859654.76166039158</v>
      </c>
      <c r="G1197" s="3">
        <f t="shared" si="10"/>
        <v>429827.38083019579</v>
      </c>
      <c r="H1197" t="s">
        <v>893</v>
      </c>
      <c r="I1197" t="s">
        <v>2600</v>
      </c>
      <c r="J1197" t="s">
        <v>2601</v>
      </c>
      <c r="K1197">
        <v>9.56</v>
      </c>
      <c r="L1197">
        <v>2.5009999999999999</v>
      </c>
      <c r="M1197" s="1">
        <v>100</v>
      </c>
      <c r="N1197" s="1" t="s">
        <v>2698</v>
      </c>
    </row>
    <row r="1198" spans="1:14" x14ac:dyDescent="0.25">
      <c r="A1198" t="s">
        <v>1971</v>
      </c>
      <c r="B1198" t="s">
        <v>2105</v>
      </c>
      <c r="C1198" t="s">
        <v>3362</v>
      </c>
      <c r="D1198" s="2">
        <v>2.6893469874127E-2</v>
      </c>
      <c r="E1198" s="3">
        <v>5485436.8437110595</v>
      </c>
      <c r="F1198" s="3">
        <f t="shared" si="11"/>
        <v>914239.47395184322</v>
      </c>
      <c r="G1198" s="3">
        <f t="shared" si="10"/>
        <v>457119.73697592161</v>
      </c>
      <c r="H1198" t="s">
        <v>130</v>
      </c>
      <c r="I1198" t="s">
        <v>1034</v>
      </c>
      <c r="J1198" t="s">
        <v>2604</v>
      </c>
      <c r="K1198">
        <v>14.66</v>
      </c>
      <c r="L1198">
        <v>2.6549999999999998</v>
      </c>
      <c r="M1198" s="1">
        <v>100</v>
      </c>
      <c r="N1198" s="1" t="s">
        <v>2698</v>
      </c>
    </row>
    <row r="1199" spans="1:14" x14ac:dyDescent="0.25">
      <c r="A1199" t="s">
        <v>1972</v>
      </c>
      <c r="B1199" t="s">
        <v>2105</v>
      </c>
      <c r="C1199" t="s">
        <v>3362</v>
      </c>
      <c r="D1199" s="2">
        <v>2.8441667309064101E-2</v>
      </c>
      <c r="E1199" s="3">
        <v>3745694.94092876</v>
      </c>
      <c r="F1199" s="3">
        <f t="shared" si="11"/>
        <v>624282.49015479337</v>
      </c>
      <c r="G1199" s="3">
        <f t="shared" si="10"/>
        <v>312141.24507739668</v>
      </c>
      <c r="H1199" t="s">
        <v>17</v>
      </c>
      <c r="I1199" t="s">
        <v>2607</v>
      </c>
      <c r="J1199" t="s">
        <v>2608</v>
      </c>
      <c r="K1199">
        <v>11.48</v>
      </c>
      <c r="L1199">
        <v>2.649</v>
      </c>
      <c r="M1199" s="1">
        <v>100</v>
      </c>
      <c r="N1199" s="1" t="s">
        <v>2698</v>
      </c>
    </row>
    <row r="1200" spans="1:14" x14ac:dyDescent="0.25">
      <c r="A1200" t="s">
        <v>1609</v>
      </c>
      <c r="B1200" t="s">
        <v>2104</v>
      </c>
      <c r="C1200" t="s">
        <v>2103</v>
      </c>
      <c r="D1200" s="2" t="s">
        <v>20</v>
      </c>
      <c r="E1200" s="3">
        <v>0</v>
      </c>
      <c r="H1200" t="s">
        <v>207</v>
      </c>
      <c r="I1200" t="s">
        <v>201</v>
      </c>
      <c r="J1200" t="s">
        <v>207</v>
      </c>
      <c r="K1200">
        <v>33.409999999999997</v>
      </c>
      <c r="L1200">
        <v>2.5289999999999999</v>
      </c>
      <c r="M1200" s="1" t="s">
        <v>20</v>
      </c>
      <c r="N1200" s="1" t="s">
        <v>2999</v>
      </c>
    </row>
    <row r="1201" spans="1:14" x14ac:dyDescent="0.25">
      <c r="A1201" t="s">
        <v>2102</v>
      </c>
      <c r="B1201" t="s">
        <v>2104</v>
      </c>
      <c r="C1201" t="s">
        <v>2103</v>
      </c>
      <c r="D1201" s="2" t="s">
        <v>20</v>
      </c>
      <c r="E1201" s="3">
        <v>0</v>
      </c>
      <c r="H1201" t="s">
        <v>45</v>
      </c>
      <c r="I1201" t="s">
        <v>201</v>
      </c>
      <c r="J1201" t="s">
        <v>45</v>
      </c>
      <c r="K1201">
        <v>11.73</v>
      </c>
      <c r="L1201">
        <v>2.5920000000000001</v>
      </c>
      <c r="M1201" s="1" t="s">
        <v>20</v>
      </c>
      <c r="N1201" s="1" t="s">
        <v>2999</v>
      </c>
    </row>
    <row r="1202" spans="1:14" x14ac:dyDescent="0.25">
      <c r="A1202" t="s">
        <v>3360</v>
      </c>
      <c r="B1202" t="s">
        <v>2104</v>
      </c>
      <c r="C1202" t="s">
        <v>2103</v>
      </c>
      <c r="D1202" s="2">
        <v>6.1474876901211097E-2</v>
      </c>
      <c r="E1202" s="3">
        <v>5170039.3085133703</v>
      </c>
      <c r="H1202" t="s">
        <v>634</v>
      </c>
      <c r="I1202" t="s">
        <v>2909</v>
      </c>
      <c r="J1202" t="s">
        <v>2910</v>
      </c>
      <c r="K1202">
        <v>15.3</v>
      </c>
      <c r="L1202">
        <v>2.6019999999999999</v>
      </c>
      <c r="M1202" s="1">
        <v>1000</v>
      </c>
      <c r="N1202" s="1" t="s">
        <v>2999</v>
      </c>
    </row>
    <row r="1203" spans="1:14" x14ac:dyDescent="0.25">
      <c r="A1203" t="s">
        <v>3357</v>
      </c>
      <c r="B1203" t="s">
        <v>2104</v>
      </c>
      <c r="C1203" t="s">
        <v>2103</v>
      </c>
      <c r="D1203" s="2">
        <v>4.5964741946557898E-2</v>
      </c>
      <c r="E1203" s="3">
        <v>9918853.0223731697</v>
      </c>
      <c r="H1203" t="s">
        <v>217</v>
      </c>
      <c r="I1203" t="s">
        <v>2851</v>
      </c>
      <c r="J1203" t="s">
        <v>2076</v>
      </c>
      <c r="K1203">
        <v>18.489999999999998</v>
      </c>
      <c r="L1203">
        <v>2.5910000000000002</v>
      </c>
      <c r="M1203" s="1">
        <v>1000</v>
      </c>
      <c r="N1203" s="1" t="s">
        <v>2999</v>
      </c>
    </row>
    <row r="1204" spans="1:14" x14ac:dyDescent="0.25">
      <c r="A1204" t="s">
        <v>10</v>
      </c>
      <c r="B1204" t="s">
        <v>2104</v>
      </c>
      <c r="C1204" t="s">
        <v>2103</v>
      </c>
      <c r="D1204" s="2" t="s">
        <v>20</v>
      </c>
      <c r="E1204" s="3" t="s">
        <v>20</v>
      </c>
      <c r="H1204" t="s">
        <v>2998</v>
      </c>
      <c r="I1204" t="s">
        <v>201</v>
      </c>
      <c r="J1204" t="s">
        <v>2998</v>
      </c>
      <c r="K1204">
        <v>10.46</v>
      </c>
      <c r="L1204">
        <v>2.645</v>
      </c>
      <c r="M1204" s="1" t="s">
        <v>20</v>
      </c>
      <c r="N1204" s="1" t="s">
        <v>2999</v>
      </c>
    </row>
    <row r="1205" spans="1:14" x14ac:dyDescent="0.25">
      <c r="A1205" t="s">
        <v>2711</v>
      </c>
      <c r="B1205" t="s">
        <v>2104</v>
      </c>
      <c r="C1205" t="s">
        <v>2103</v>
      </c>
      <c r="D1205" s="2">
        <v>2.8022527120324599E-2</v>
      </c>
      <c r="E1205" s="3">
        <v>4188491.6659686002</v>
      </c>
      <c r="H1205" t="s">
        <v>56</v>
      </c>
      <c r="I1205" t="s">
        <v>2813</v>
      </c>
      <c r="J1205" t="s">
        <v>2814</v>
      </c>
      <c r="K1205">
        <v>11.48</v>
      </c>
      <c r="L1205">
        <v>2.5379999999999998</v>
      </c>
      <c r="M1205" s="1">
        <v>100</v>
      </c>
      <c r="N1205" s="1" t="s">
        <v>2999</v>
      </c>
    </row>
    <row r="1206" spans="1:14" x14ac:dyDescent="0.25">
      <c r="A1206" t="s">
        <v>2721</v>
      </c>
      <c r="B1206" t="s">
        <v>2104</v>
      </c>
      <c r="C1206" t="s">
        <v>2103</v>
      </c>
      <c r="D1206" s="2">
        <v>4.3221190387032302E-2</v>
      </c>
      <c r="E1206" s="3">
        <v>1199040.7790941901</v>
      </c>
      <c r="H1206" t="s">
        <v>505</v>
      </c>
      <c r="I1206" t="s">
        <v>2841</v>
      </c>
      <c r="J1206" t="s">
        <v>2842</v>
      </c>
      <c r="K1206">
        <v>12.11</v>
      </c>
      <c r="L1206">
        <v>2.4660000000000002</v>
      </c>
      <c r="M1206" s="1">
        <v>100</v>
      </c>
      <c r="N1206" s="1" t="s">
        <v>2999</v>
      </c>
    </row>
    <row r="1207" spans="1:14" x14ac:dyDescent="0.25">
      <c r="A1207" t="s">
        <v>2739</v>
      </c>
      <c r="B1207" t="s">
        <v>2104</v>
      </c>
      <c r="C1207" t="s">
        <v>2103</v>
      </c>
      <c r="D1207" s="2">
        <v>2.9770893452155899E-2</v>
      </c>
      <c r="E1207" s="3">
        <v>3316429.3056052998</v>
      </c>
      <c r="H1207" t="s">
        <v>130</v>
      </c>
      <c r="I1207" t="s">
        <v>2902</v>
      </c>
      <c r="J1207" t="s">
        <v>920</v>
      </c>
      <c r="K1207">
        <v>15.94</v>
      </c>
      <c r="L1207">
        <v>2.4830000000000001</v>
      </c>
      <c r="M1207" s="1">
        <v>100</v>
      </c>
      <c r="N1207" s="1" t="s">
        <v>2999</v>
      </c>
    </row>
    <row r="1208" spans="1:14" x14ac:dyDescent="0.25">
      <c r="A1208" t="s">
        <v>2744</v>
      </c>
      <c r="B1208" t="s">
        <v>2104</v>
      </c>
      <c r="C1208" t="s">
        <v>2103</v>
      </c>
      <c r="D1208" s="2">
        <v>3.1949532506711197E-2</v>
      </c>
      <c r="E1208" s="3">
        <v>2670160.6500090798</v>
      </c>
      <c r="H1208" t="s">
        <v>324</v>
      </c>
      <c r="I1208" t="s">
        <v>2939</v>
      </c>
      <c r="J1208" t="s">
        <v>2940</v>
      </c>
      <c r="K1208">
        <v>14.66</v>
      </c>
      <c r="L1208">
        <v>2.4329999999999998</v>
      </c>
      <c r="M1208" s="1">
        <v>100</v>
      </c>
      <c r="N1208" s="1" t="s">
        <v>2999</v>
      </c>
    </row>
    <row r="1209" spans="1:14" x14ac:dyDescent="0.25">
      <c r="A1209" t="s">
        <v>2751</v>
      </c>
      <c r="B1209" t="s">
        <v>2104</v>
      </c>
      <c r="C1209" t="s">
        <v>2103</v>
      </c>
      <c r="D1209" s="2">
        <v>3.1194611119222702E-2</v>
      </c>
      <c r="E1209" s="3">
        <v>2799752.9667182001</v>
      </c>
      <c r="H1209" t="s">
        <v>198</v>
      </c>
      <c r="I1209" t="s">
        <v>777</v>
      </c>
      <c r="J1209" t="s">
        <v>2966</v>
      </c>
      <c r="K1209">
        <v>12.75</v>
      </c>
      <c r="L1209">
        <v>2.5009999999999999</v>
      </c>
      <c r="M1209" s="1">
        <v>100</v>
      </c>
      <c r="N1209" s="1" t="s">
        <v>2999</v>
      </c>
    </row>
    <row r="1210" spans="1:14" x14ac:dyDescent="0.25">
      <c r="A1210" t="s">
        <v>3659</v>
      </c>
      <c r="B1210" t="s">
        <v>2104</v>
      </c>
      <c r="C1210" t="s">
        <v>2103</v>
      </c>
      <c r="D1210" s="2">
        <v>3.2594876908318499E-2</v>
      </c>
      <c r="E1210" s="3">
        <v>2302902.9008422899</v>
      </c>
      <c r="H1210" t="s">
        <v>324</v>
      </c>
      <c r="I1210" t="s">
        <v>3660</v>
      </c>
      <c r="J1210" t="s">
        <v>3661</v>
      </c>
      <c r="K1210">
        <v>14.66</v>
      </c>
      <c r="L1210">
        <v>2.6549999999999998</v>
      </c>
      <c r="M1210" s="1">
        <v>100</v>
      </c>
      <c r="N1210" s="1" t="s">
        <v>2999</v>
      </c>
    </row>
    <row r="1211" spans="1:14" x14ac:dyDescent="0.25">
      <c r="A1211" t="s">
        <v>2705</v>
      </c>
      <c r="B1211" t="s">
        <v>2104</v>
      </c>
      <c r="C1211" t="s">
        <v>2103</v>
      </c>
      <c r="D1211" s="2">
        <v>4.34591345900842E-2</v>
      </c>
      <c r="E1211" s="3">
        <v>1101238.14546834</v>
      </c>
      <c r="H1211" t="s">
        <v>213</v>
      </c>
      <c r="I1211" t="s">
        <v>2776</v>
      </c>
      <c r="J1211" t="s">
        <v>2777</v>
      </c>
      <c r="K1211">
        <v>14.03</v>
      </c>
      <c r="L1211">
        <v>2.649</v>
      </c>
      <c r="M1211" s="1">
        <v>100</v>
      </c>
      <c r="N1211" s="1" t="s">
        <v>2999</v>
      </c>
    </row>
    <row r="1212" spans="1:14" x14ac:dyDescent="0.25">
      <c r="A1212" t="s">
        <v>2722</v>
      </c>
      <c r="B1212" t="s">
        <v>2104</v>
      </c>
      <c r="C1212" t="s">
        <v>2103</v>
      </c>
      <c r="D1212" s="2">
        <v>2.7931242110908899E-2</v>
      </c>
      <c r="E1212" s="3">
        <v>4276823.2783631403</v>
      </c>
      <c r="H1212" t="s">
        <v>198</v>
      </c>
      <c r="I1212" t="s">
        <v>2845</v>
      </c>
      <c r="J1212" t="s">
        <v>2846</v>
      </c>
      <c r="K1212">
        <v>15.3</v>
      </c>
      <c r="L1212">
        <v>2.5289999999999999</v>
      </c>
      <c r="M1212" s="1">
        <v>100</v>
      </c>
      <c r="N1212" s="1" t="s">
        <v>2999</v>
      </c>
    </row>
    <row r="1213" spans="1:14" x14ac:dyDescent="0.25">
      <c r="A1213" t="s">
        <v>2740</v>
      </c>
      <c r="B1213" t="s">
        <v>2104</v>
      </c>
      <c r="C1213" t="s">
        <v>2103</v>
      </c>
      <c r="D1213" s="2">
        <v>3.7882386504009699E-2</v>
      </c>
      <c r="E1213" s="3">
        <v>1669938.6256647599</v>
      </c>
      <c r="H1213" t="s">
        <v>2073</v>
      </c>
      <c r="I1213" t="s">
        <v>2905</v>
      </c>
      <c r="J1213" t="s">
        <v>2906</v>
      </c>
      <c r="K1213">
        <v>13.39</v>
      </c>
      <c r="L1213">
        <v>2.4750000000000001</v>
      </c>
      <c r="M1213" s="1">
        <v>100</v>
      </c>
      <c r="N1213" s="1" t="s">
        <v>2999</v>
      </c>
    </row>
    <row r="1214" spans="1:14" x14ac:dyDescent="0.25">
      <c r="A1214" t="s">
        <v>2745</v>
      </c>
      <c r="B1214" t="s">
        <v>2104</v>
      </c>
      <c r="C1214" t="s">
        <v>2103</v>
      </c>
      <c r="D1214" s="2">
        <v>5.2684240678932702E-2</v>
      </c>
      <c r="E1214" s="3">
        <v>758445.82140748994</v>
      </c>
      <c r="H1214" t="s">
        <v>546</v>
      </c>
      <c r="I1214" t="s">
        <v>2942</v>
      </c>
      <c r="J1214" t="s">
        <v>2943</v>
      </c>
      <c r="K1214">
        <v>16.579999999999998</v>
      </c>
      <c r="L1214">
        <v>2.48</v>
      </c>
      <c r="M1214" s="1">
        <v>100</v>
      </c>
      <c r="N1214" s="1" t="s">
        <v>2999</v>
      </c>
    </row>
    <row r="1215" spans="1:14" x14ac:dyDescent="0.25">
      <c r="A1215" t="s">
        <v>2752</v>
      </c>
      <c r="B1215" t="s">
        <v>2104</v>
      </c>
      <c r="C1215" t="s">
        <v>2103</v>
      </c>
      <c r="D1215" s="2">
        <v>3.4069836838210098E-2</v>
      </c>
      <c r="E1215" s="3">
        <v>2112233.2727756598</v>
      </c>
      <c r="H1215" t="s">
        <v>38</v>
      </c>
      <c r="I1215" t="s">
        <v>2969</v>
      </c>
      <c r="J1215" t="s">
        <v>2970</v>
      </c>
      <c r="K1215">
        <v>14.03</v>
      </c>
      <c r="L1215">
        <v>2.54</v>
      </c>
      <c r="M1215" s="1">
        <v>100</v>
      </c>
      <c r="N1215" s="1" t="s">
        <v>2999</v>
      </c>
    </row>
    <row r="1216" spans="1:14" x14ac:dyDescent="0.25">
      <c r="A1216" t="s">
        <v>2756</v>
      </c>
      <c r="B1216" t="s">
        <v>2104</v>
      </c>
      <c r="C1216" t="s">
        <v>2103</v>
      </c>
      <c r="D1216" s="2">
        <v>4.0699482600710102E-2</v>
      </c>
      <c r="E1216" s="3">
        <v>1300686.42024959</v>
      </c>
      <c r="H1216" t="s">
        <v>634</v>
      </c>
      <c r="I1216" t="s">
        <v>2991</v>
      </c>
      <c r="J1216" t="s">
        <v>2540</v>
      </c>
      <c r="K1216">
        <v>12.11</v>
      </c>
      <c r="L1216">
        <v>2.621</v>
      </c>
      <c r="M1216" s="1">
        <v>100</v>
      </c>
      <c r="N1216" s="1" t="s">
        <v>2999</v>
      </c>
    </row>
    <row r="1217" spans="1:14" x14ac:dyDescent="0.25">
      <c r="A1217" t="s">
        <v>2706</v>
      </c>
      <c r="B1217" t="s">
        <v>2104</v>
      </c>
      <c r="C1217" t="s">
        <v>2103</v>
      </c>
      <c r="D1217" s="2">
        <v>3.2577916587541403E-2</v>
      </c>
      <c r="E1217" s="3">
        <v>2343550.34896546</v>
      </c>
      <c r="H1217" t="s">
        <v>45</v>
      </c>
      <c r="I1217" t="s">
        <v>2779</v>
      </c>
      <c r="J1217" t="s">
        <v>2780</v>
      </c>
      <c r="K1217">
        <v>14.66</v>
      </c>
      <c r="L1217">
        <v>2.6219999999999999</v>
      </c>
      <c r="M1217" s="1">
        <v>100</v>
      </c>
      <c r="N1217" s="1" t="s">
        <v>2999</v>
      </c>
    </row>
    <row r="1218" spans="1:14" x14ac:dyDescent="0.25">
      <c r="A1218" t="s">
        <v>2712</v>
      </c>
      <c r="B1218" t="s">
        <v>2104</v>
      </c>
      <c r="C1218" t="s">
        <v>2103</v>
      </c>
      <c r="D1218" s="2">
        <v>2.6944927652858899E-2</v>
      </c>
      <c r="E1218" s="3">
        <v>7249660.1878249496</v>
      </c>
      <c r="H1218" t="s">
        <v>27</v>
      </c>
      <c r="I1218" t="s">
        <v>2816</v>
      </c>
      <c r="J1218" t="s">
        <v>2817</v>
      </c>
      <c r="K1218">
        <v>14.66</v>
      </c>
      <c r="L1218">
        <v>2.5750000000000002</v>
      </c>
      <c r="M1218" s="1">
        <v>100</v>
      </c>
      <c r="N1218" s="1" t="s">
        <v>2999</v>
      </c>
    </row>
    <row r="1219" spans="1:14" x14ac:dyDescent="0.25">
      <c r="A1219" t="s">
        <v>2723</v>
      </c>
      <c r="B1219" t="s">
        <v>2104</v>
      </c>
      <c r="C1219" t="s">
        <v>2103</v>
      </c>
      <c r="D1219" s="2">
        <v>2.91421288476937E-2</v>
      </c>
      <c r="E1219" s="3">
        <v>3512659.6022322201</v>
      </c>
      <c r="H1219" t="s">
        <v>324</v>
      </c>
      <c r="I1219" t="s">
        <v>2847</v>
      </c>
      <c r="J1219" t="s">
        <v>2848</v>
      </c>
      <c r="K1219">
        <v>12.75</v>
      </c>
      <c r="L1219">
        <v>2.5419999999999998</v>
      </c>
      <c r="M1219" s="1">
        <v>100</v>
      </c>
      <c r="N1219" s="1" t="s">
        <v>2999</v>
      </c>
    </row>
    <row r="1220" spans="1:14" x14ac:dyDescent="0.25">
      <c r="A1220" t="s">
        <v>2732</v>
      </c>
      <c r="B1220" t="s">
        <v>2104</v>
      </c>
      <c r="C1220" t="s">
        <v>2103</v>
      </c>
      <c r="D1220" s="2">
        <v>2.68761156971551E-2</v>
      </c>
      <c r="E1220" s="3">
        <v>5885330.7452101205</v>
      </c>
      <c r="H1220" t="s">
        <v>893</v>
      </c>
      <c r="I1220" t="s">
        <v>307</v>
      </c>
      <c r="J1220" t="s">
        <v>2152</v>
      </c>
      <c r="K1220">
        <v>12.75</v>
      </c>
      <c r="L1220">
        <v>2.4969999999999999</v>
      </c>
      <c r="M1220" s="1">
        <v>100</v>
      </c>
      <c r="N1220" s="1" t="s">
        <v>2999</v>
      </c>
    </row>
    <row r="1221" spans="1:14" x14ac:dyDescent="0.25">
      <c r="A1221" t="s">
        <v>1696</v>
      </c>
      <c r="B1221" t="s">
        <v>2104</v>
      </c>
      <c r="C1221" t="s">
        <v>2103</v>
      </c>
      <c r="D1221" s="2">
        <v>3.04238250306469E-2</v>
      </c>
      <c r="E1221" s="3">
        <v>3036890.8071496701</v>
      </c>
      <c r="H1221" t="s">
        <v>130</v>
      </c>
      <c r="I1221" t="s">
        <v>2946</v>
      </c>
      <c r="J1221" t="s">
        <v>1168</v>
      </c>
      <c r="K1221">
        <v>11.48</v>
      </c>
      <c r="L1221">
        <v>2.5099999999999998</v>
      </c>
      <c r="M1221" s="1">
        <v>100</v>
      </c>
      <c r="N1221" s="1" t="s">
        <v>2999</v>
      </c>
    </row>
    <row r="1222" spans="1:14" x14ac:dyDescent="0.25">
      <c r="A1222" t="s">
        <v>2753</v>
      </c>
      <c r="B1222" t="s">
        <v>2104</v>
      </c>
      <c r="C1222" t="s">
        <v>2103</v>
      </c>
      <c r="D1222" s="2">
        <v>4.6002766473764202E-2</v>
      </c>
      <c r="E1222" s="3">
        <v>1005336.2530484101</v>
      </c>
      <c r="H1222" t="s">
        <v>914</v>
      </c>
      <c r="I1222" t="s">
        <v>2971</v>
      </c>
      <c r="J1222" t="s">
        <v>2972</v>
      </c>
      <c r="K1222">
        <v>14.66</v>
      </c>
      <c r="L1222">
        <v>2.5590000000000002</v>
      </c>
      <c r="M1222" s="1">
        <v>100</v>
      </c>
      <c r="N1222" s="1" t="s">
        <v>2999</v>
      </c>
    </row>
    <row r="1223" spans="1:14" x14ac:dyDescent="0.25">
      <c r="A1223" t="s">
        <v>2757</v>
      </c>
      <c r="B1223" t="s">
        <v>2104</v>
      </c>
      <c r="C1223" t="s">
        <v>2103</v>
      </c>
      <c r="D1223" s="2">
        <v>4.11688512742273E-2</v>
      </c>
      <c r="E1223" s="3">
        <v>1330596.5859693501</v>
      </c>
      <c r="H1223" t="s">
        <v>2993</v>
      </c>
      <c r="I1223" t="s">
        <v>2994</v>
      </c>
      <c r="J1223" t="s">
        <v>2995</v>
      </c>
      <c r="K1223">
        <v>11.48</v>
      </c>
      <c r="L1223">
        <v>2.625</v>
      </c>
      <c r="M1223" s="1">
        <v>100</v>
      </c>
      <c r="N1223" s="1" t="s">
        <v>2999</v>
      </c>
    </row>
    <row r="1224" spans="1:14" x14ac:dyDescent="0.25">
      <c r="A1224" t="s">
        <v>2707</v>
      </c>
      <c r="B1224" t="s">
        <v>2104</v>
      </c>
      <c r="C1224" t="s">
        <v>2103</v>
      </c>
      <c r="D1224" s="2">
        <v>2.8112752066215201E-2</v>
      </c>
      <c r="E1224" s="3">
        <v>4022281.5246760701</v>
      </c>
      <c r="H1224" t="s">
        <v>1103</v>
      </c>
      <c r="I1224" t="s">
        <v>2781</v>
      </c>
      <c r="J1224" t="s">
        <v>2782</v>
      </c>
      <c r="K1224">
        <v>12.11</v>
      </c>
      <c r="L1224">
        <v>2.6520000000000001</v>
      </c>
      <c r="M1224" s="1">
        <v>100</v>
      </c>
      <c r="N1224" s="1" t="s">
        <v>2999</v>
      </c>
    </row>
    <row r="1225" spans="1:14" x14ac:dyDescent="0.25">
      <c r="A1225" t="s">
        <v>2713</v>
      </c>
      <c r="B1225" t="s">
        <v>2104</v>
      </c>
      <c r="C1225" t="s">
        <v>2103</v>
      </c>
      <c r="D1225" s="2">
        <v>2.79543570125587E-2</v>
      </c>
      <c r="E1225" s="3">
        <v>4115538.9949040902</v>
      </c>
      <c r="H1225" t="s">
        <v>284</v>
      </c>
      <c r="I1225" t="s">
        <v>1199</v>
      </c>
      <c r="J1225" t="s">
        <v>883</v>
      </c>
      <c r="K1225">
        <v>10.84</v>
      </c>
      <c r="L1225">
        <v>2.62</v>
      </c>
      <c r="M1225" s="1">
        <v>100</v>
      </c>
      <c r="N1225" s="1" t="s">
        <v>2999</v>
      </c>
    </row>
    <row r="1226" spans="1:14" x14ac:dyDescent="0.25">
      <c r="A1226" t="s">
        <v>2699</v>
      </c>
      <c r="B1226" t="s">
        <v>2104</v>
      </c>
      <c r="C1226" t="s">
        <v>2103</v>
      </c>
      <c r="D1226" s="2">
        <v>2.9957048901764202E-2</v>
      </c>
      <c r="E1226" s="3">
        <v>3036323.7588572199</v>
      </c>
      <c r="H1226" t="s">
        <v>62</v>
      </c>
      <c r="I1226" t="s">
        <v>2758</v>
      </c>
      <c r="J1226" t="s">
        <v>1460</v>
      </c>
      <c r="K1226">
        <v>10.84</v>
      </c>
      <c r="L1226">
        <v>2.6539999999999999</v>
      </c>
      <c r="M1226" s="1">
        <v>100</v>
      </c>
      <c r="N1226" s="1" t="s">
        <v>2999</v>
      </c>
    </row>
    <row r="1227" spans="1:14" x14ac:dyDescent="0.25">
      <c r="A1227" t="s">
        <v>1738</v>
      </c>
      <c r="B1227" t="s">
        <v>2104</v>
      </c>
      <c r="C1227" t="s">
        <v>2103</v>
      </c>
      <c r="D1227" s="2">
        <v>3.4223202500948999E-2</v>
      </c>
      <c r="E1227" s="3">
        <v>1965663.1718455199</v>
      </c>
      <c r="H1227" t="s">
        <v>308</v>
      </c>
      <c r="I1227" t="s">
        <v>2784</v>
      </c>
      <c r="J1227" t="s">
        <v>2785</v>
      </c>
      <c r="K1227">
        <v>15.3</v>
      </c>
      <c r="L1227">
        <v>2.6989999999999998</v>
      </c>
      <c r="M1227" s="1">
        <v>100</v>
      </c>
      <c r="N1227" s="1" t="s">
        <v>2999</v>
      </c>
    </row>
    <row r="1228" spans="1:14" x14ac:dyDescent="0.25">
      <c r="A1228" t="s">
        <v>2714</v>
      </c>
      <c r="B1228" t="s">
        <v>2104</v>
      </c>
      <c r="C1228" t="s">
        <v>2103</v>
      </c>
      <c r="D1228" s="2">
        <v>2.8791449276470201E-2</v>
      </c>
      <c r="E1228" s="3">
        <v>9376362.4906248692</v>
      </c>
      <c r="H1228" t="s">
        <v>347</v>
      </c>
      <c r="I1228" t="s">
        <v>2245</v>
      </c>
      <c r="J1228" t="s">
        <v>983</v>
      </c>
      <c r="K1228">
        <v>15.94</v>
      </c>
      <c r="L1228">
        <v>2.6960000000000002</v>
      </c>
      <c r="M1228" s="1">
        <v>100</v>
      </c>
      <c r="N1228" s="1" t="s">
        <v>2999</v>
      </c>
    </row>
    <row r="1229" spans="1:14" x14ac:dyDescent="0.25">
      <c r="A1229" t="s">
        <v>2724</v>
      </c>
      <c r="B1229" t="s">
        <v>2104</v>
      </c>
      <c r="C1229" t="s">
        <v>2103</v>
      </c>
      <c r="D1229" s="2">
        <v>2.72633308563884E-2</v>
      </c>
      <c r="E1229" s="3">
        <v>7570864.2116228603</v>
      </c>
      <c r="H1229" t="s">
        <v>115</v>
      </c>
      <c r="I1229" t="s">
        <v>2852</v>
      </c>
      <c r="J1229" t="s">
        <v>2853</v>
      </c>
      <c r="K1229">
        <v>16.579999999999998</v>
      </c>
      <c r="L1229">
        <v>2.67</v>
      </c>
      <c r="M1229" s="1">
        <v>100</v>
      </c>
      <c r="N1229" s="1" t="s">
        <v>2999</v>
      </c>
    </row>
    <row r="1230" spans="1:14" x14ac:dyDescent="0.25">
      <c r="A1230" t="s">
        <v>2733</v>
      </c>
      <c r="B1230" t="s">
        <v>2104</v>
      </c>
      <c r="C1230" t="s">
        <v>2103</v>
      </c>
      <c r="D1230" s="2">
        <v>2.8986800538343301E-2</v>
      </c>
      <c r="E1230" s="3">
        <v>4309840.9867972396</v>
      </c>
      <c r="H1230" t="s">
        <v>2880</v>
      </c>
      <c r="I1230" t="s">
        <v>2881</v>
      </c>
      <c r="J1230" t="s">
        <v>2882</v>
      </c>
      <c r="K1230">
        <v>17.21</v>
      </c>
      <c r="L1230">
        <v>2.6970000000000001</v>
      </c>
      <c r="M1230" s="1">
        <v>100</v>
      </c>
      <c r="N1230" s="1" t="s">
        <v>2999</v>
      </c>
    </row>
    <row r="1231" spans="1:14" x14ac:dyDescent="0.25">
      <c r="A1231" t="s">
        <v>1742</v>
      </c>
      <c r="B1231" t="s">
        <v>2104</v>
      </c>
      <c r="C1231" t="s">
        <v>2103</v>
      </c>
      <c r="D1231" s="2">
        <v>2.7710223432292701E-2</v>
      </c>
      <c r="E1231" s="3">
        <v>8271624.0125906197</v>
      </c>
      <c r="H1231" t="s">
        <v>124</v>
      </c>
      <c r="I1231" t="s">
        <v>2913</v>
      </c>
      <c r="J1231" t="s">
        <v>2914</v>
      </c>
      <c r="K1231">
        <v>13.39</v>
      </c>
      <c r="L1231">
        <v>2.6829999999999998</v>
      </c>
      <c r="M1231" s="1">
        <v>100</v>
      </c>
      <c r="N1231" s="1" t="s">
        <v>2999</v>
      </c>
    </row>
    <row r="1232" spans="1:14" x14ac:dyDescent="0.25">
      <c r="A1232" t="s">
        <v>2746</v>
      </c>
      <c r="B1232" t="s">
        <v>2104</v>
      </c>
      <c r="C1232" t="s">
        <v>2103</v>
      </c>
      <c r="D1232" s="2">
        <v>2.70098098669227E-2</v>
      </c>
      <c r="E1232" s="3">
        <v>5070229.0359694697</v>
      </c>
      <c r="H1232" t="s">
        <v>232</v>
      </c>
      <c r="I1232" t="s">
        <v>2074</v>
      </c>
      <c r="J1232" t="s">
        <v>1398</v>
      </c>
      <c r="K1232">
        <v>12.11</v>
      </c>
      <c r="L1232">
        <v>2.7010000000000001</v>
      </c>
      <c r="M1232" s="1">
        <v>100</v>
      </c>
      <c r="N1232" s="1" t="s">
        <v>2999</v>
      </c>
    </row>
    <row r="1233" spans="1:14" x14ac:dyDescent="0.25">
      <c r="A1233" t="s">
        <v>2754</v>
      </c>
      <c r="B1233" t="s">
        <v>2104</v>
      </c>
      <c r="C1233" t="s">
        <v>2103</v>
      </c>
      <c r="D1233" s="2">
        <v>3.0576558462664601E-2</v>
      </c>
      <c r="E1233" s="3">
        <v>2774425.9139923202</v>
      </c>
      <c r="H1233" t="s">
        <v>53</v>
      </c>
      <c r="I1233" t="s">
        <v>49</v>
      </c>
      <c r="J1233" t="s">
        <v>2975</v>
      </c>
      <c r="K1233">
        <v>15.94</v>
      </c>
      <c r="L1233">
        <v>2.7080000000000002</v>
      </c>
      <c r="M1233" s="1">
        <v>100</v>
      </c>
      <c r="N1233" s="1" t="s">
        <v>2999</v>
      </c>
    </row>
    <row r="1234" spans="1:14" x14ac:dyDescent="0.25">
      <c r="A1234" t="s">
        <v>1745</v>
      </c>
      <c r="B1234" t="s">
        <v>2104</v>
      </c>
      <c r="C1234" t="s">
        <v>2103</v>
      </c>
      <c r="D1234" s="2">
        <v>3.0795472187657501E-2</v>
      </c>
      <c r="E1234" s="3">
        <v>2766559.99863974</v>
      </c>
      <c r="H1234" t="s">
        <v>88</v>
      </c>
      <c r="I1234" t="s">
        <v>2761</v>
      </c>
      <c r="J1234" t="s">
        <v>2762</v>
      </c>
      <c r="K1234">
        <v>15.3</v>
      </c>
      <c r="L1234">
        <v>2.65</v>
      </c>
      <c r="M1234" s="1">
        <v>100</v>
      </c>
      <c r="N1234" s="1" t="s">
        <v>2999</v>
      </c>
    </row>
    <row r="1235" spans="1:14" x14ac:dyDescent="0.25">
      <c r="A1235" t="s">
        <v>1746</v>
      </c>
      <c r="B1235" t="s">
        <v>2104</v>
      </c>
      <c r="C1235" t="s">
        <v>2103</v>
      </c>
      <c r="D1235" s="2">
        <v>3.1591390918337403E-2</v>
      </c>
      <c r="E1235" s="3">
        <v>2540165.4823570498</v>
      </c>
      <c r="H1235" t="s">
        <v>27</v>
      </c>
      <c r="I1235" t="s">
        <v>1192</v>
      </c>
      <c r="J1235" t="s">
        <v>2788</v>
      </c>
      <c r="K1235">
        <v>14.03</v>
      </c>
      <c r="L1235">
        <v>2.6440000000000001</v>
      </c>
      <c r="M1235" s="1">
        <v>100</v>
      </c>
      <c r="N1235" s="1" t="s">
        <v>2999</v>
      </c>
    </row>
    <row r="1236" spans="1:14" x14ac:dyDescent="0.25">
      <c r="A1236" t="s">
        <v>2715</v>
      </c>
      <c r="B1236" t="s">
        <v>2104</v>
      </c>
      <c r="C1236" t="s">
        <v>2103</v>
      </c>
      <c r="D1236" s="2">
        <v>2.8600496174575898E-2</v>
      </c>
      <c r="E1236" s="3">
        <v>3707071.3980741398</v>
      </c>
      <c r="H1236" t="s">
        <v>53</v>
      </c>
      <c r="I1236" t="s">
        <v>2821</v>
      </c>
      <c r="J1236" t="s">
        <v>2822</v>
      </c>
      <c r="K1236">
        <v>14.03</v>
      </c>
      <c r="L1236">
        <v>2.6179999999999999</v>
      </c>
      <c r="M1236" s="1">
        <v>100</v>
      </c>
      <c r="N1236" s="1" t="s">
        <v>2999</v>
      </c>
    </row>
    <row r="1237" spans="1:14" x14ac:dyDescent="0.25">
      <c r="A1237" t="s">
        <v>2731</v>
      </c>
      <c r="B1237" t="s">
        <v>2104</v>
      </c>
      <c r="C1237" t="s">
        <v>2103</v>
      </c>
      <c r="D1237" s="2">
        <v>2.8697159150656602E-2</v>
      </c>
      <c r="E1237" s="3">
        <v>383137.21634746599</v>
      </c>
      <c r="H1237" t="s">
        <v>56</v>
      </c>
      <c r="I1237" t="s">
        <v>2874</v>
      </c>
      <c r="J1237" t="s">
        <v>2875</v>
      </c>
      <c r="K1237">
        <v>14.66</v>
      </c>
      <c r="L1237">
        <v>2.4820000000000002</v>
      </c>
      <c r="M1237" s="1">
        <v>10</v>
      </c>
      <c r="N1237" s="1" t="s">
        <v>2999</v>
      </c>
    </row>
    <row r="1238" spans="1:14" x14ac:dyDescent="0.25">
      <c r="A1238" t="s">
        <v>1806</v>
      </c>
      <c r="B1238" t="s">
        <v>2104</v>
      </c>
      <c r="C1238" t="s">
        <v>2103</v>
      </c>
      <c r="D1238" s="2">
        <v>2.9026445713779901E-2</v>
      </c>
      <c r="E1238" s="3">
        <v>99429.166013809707</v>
      </c>
      <c r="H1238" t="s">
        <v>56</v>
      </c>
      <c r="I1238" t="s">
        <v>2916</v>
      </c>
      <c r="J1238" t="s">
        <v>2917</v>
      </c>
      <c r="K1238">
        <v>10.84</v>
      </c>
      <c r="L1238">
        <v>2.605</v>
      </c>
      <c r="M1238" s="1" t="s">
        <v>20</v>
      </c>
      <c r="N1238" s="1" t="s">
        <v>2999</v>
      </c>
    </row>
    <row r="1239" spans="1:14" x14ac:dyDescent="0.25">
      <c r="A1239" t="s">
        <v>2747</v>
      </c>
      <c r="B1239" t="s">
        <v>2104</v>
      </c>
      <c r="C1239" t="s">
        <v>2103</v>
      </c>
      <c r="D1239" s="2">
        <v>3.3185474121707102E-2</v>
      </c>
      <c r="E1239" s="3">
        <v>12720864.5333286</v>
      </c>
      <c r="H1239" t="s">
        <v>124</v>
      </c>
      <c r="I1239" t="s">
        <v>2948</v>
      </c>
      <c r="J1239" t="s">
        <v>2949</v>
      </c>
      <c r="K1239">
        <v>14.66</v>
      </c>
      <c r="L1239">
        <v>2.613</v>
      </c>
      <c r="M1239" s="1">
        <v>100</v>
      </c>
      <c r="N1239" s="1" t="s">
        <v>2999</v>
      </c>
    </row>
    <row r="1240" spans="1:14" x14ac:dyDescent="0.25">
      <c r="A1240" t="s">
        <v>2700</v>
      </c>
      <c r="B1240" t="s">
        <v>2104</v>
      </c>
      <c r="C1240" t="s">
        <v>2103</v>
      </c>
      <c r="D1240" s="2">
        <v>4.2946258894607202E-2</v>
      </c>
      <c r="E1240" s="3">
        <v>1127377.0153043</v>
      </c>
      <c r="H1240" t="s">
        <v>421</v>
      </c>
      <c r="I1240" t="s">
        <v>715</v>
      </c>
      <c r="J1240" t="s">
        <v>583</v>
      </c>
      <c r="K1240">
        <v>17.850000000000001</v>
      </c>
      <c r="L1240">
        <v>2.6579999999999999</v>
      </c>
      <c r="M1240" s="1">
        <v>100</v>
      </c>
      <c r="N1240" s="1" t="s">
        <v>2999</v>
      </c>
    </row>
    <row r="1241" spans="1:14" x14ac:dyDescent="0.25">
      <c r="A1241" t="s">
        <v>2708</v>
      </c>
      <c r="B1241" t="s">
        <v>2104</v>
      </c>
      <c r="C1241" t="s">
        <v>2103</v>
      </c>
      <c r="D1241" s="2">
        <v>3.3557176662940301E-2</v>
      </c>
      <c r="E1241" s="3">
        <v>2146978.98586907</v>
      </c>
      <c r="H1241" t="s">
        <v>324</v>
      </c>
      <c r="I1241" t="s">
        <v>2791</v>
      </c>
      <c r="J1241" t="s">
        <v>2792</v>
      </c>
      <c r="K1241">
        <v>15.3</v>
      </c>
      <c r="L1241">
        <v>2.6160000000000001</v>
      </c>
      <c r="M1241" s="1">
        <v>100</v>
      </c>
      <c r="N1241" s="1" t="s">
        <v>2999</v>
      </c>
    </row>
    <row r="1242" spans="1:14" x14ac:dyDescent="0.25">
      <c r="A1242" t="s">
        <v>2716</v>
      </c>
      <c r="B1242" t="s">
        <v>2104</v>
      </c>
      <c r="C1242" t="s">
        <v>2103</v>
      </c>
      <c r="D1242" s="2">
        <v>2.8153295949763301E-2</v>
      </c>
      <c r="E1242" s="3">
        <v>4163437.3379528299</v>
      </c>
      <c r="H1242" t="s">
        <v>114</v>
      </c>
      <c r="I1242" t="s">
        <v>2825</v>
      </c>
      <c r="J1242" t="s">
        <v>2826</v>
      </c>
      <c r="K1242">
        <v>14.66</v>
      </c>
      <c r="L1242">
        <v>2.492</v>
      </c>
      <c r="M1242" s="1">
        <v>100</v>
      </c>
      <c r="N1242" s="1" t="s">
        <v>2999</v>
      </c>
    </row>
    <row r="1243" spans="1:14" x14ac:dyDescent="0.25">
      <c r="A1243" t="s">
        <v>2725</v>
      </c>
      <c r="B1243" t="s">
        <v>2104</v>
      </c>
      <c r="C1243" t="s">
        <v>2103</v>
      </c>
      <c r="D1243" s="2">
        <v>3.0141443906438199E-2</v>
      </c>
      <c r="E1243" s="3">
        <v>3067951.7635969799</v>
      </c>
      <c r="H1243" t="s">
        <v>198</v>
      </c>
      <c r="I1243" t="s">
        <v>2856</v>
      </c>
      <c r="J1243" t="s">
        <v>2857</v>
      </c>
      <c r="K1243">
        <v>13.39</v>
      </c>
      <c r="L1243">
        <v>2.5630000000000002</v>
      </c>
      <c r="M1243" s="1">
        <v>100</v>
      </c>
      <c r="N1243" s="1" t="s">
        <v>2999</v>
      </c>
    </row>
    <row r="1244" spans="1:14" x14ac:dyDescent="0.25">
      <c r="A1244" t="s">
        <v>2734</v>
      </c>
      <c r="B1244" t="s">
        <v>2104</v>
      </c>
      <c r="C1244" t="s">
        <v>2103</v>
      </c>
      <c r="D1244" s="2">
        <v>2.7850980009560301E-2</v>
      </c>
      <c r="E1244" s="3">
        <v>4271774.0520070903</v>
      </c>
      <c r="H1244" t="s">
        <v>324</v>
      </c>
      <c r="I1244" t="s">
        <v>2886</v>
      </c>
      <c r="J1244" t="s">
        <v>2887</v>
      </c>
      <c r="K1244">
        <v>11.48</v>
      </c>
      <c r="L1244">
        <v>2.5739999999999998</v>
      </c>
      <c r="M1244" s="1">
        <v>100</v>
      </c>
      <c r="N1244" s="1" t="s">
        <v>2999</v>
      </c>
    </row>
    <row r="1245" spans="1:14" x14ac:dyDescent="0.25">
      <c r="A1245" t="s">
        <v>2741</v>
      </c>
      <c r="B1245" t="s">
        <v>2104</v>
      </c>
      <c r="C1245" t="s">
        <v>2103</v>
      </c>
      <c r="D1245" s="2">
        <v>3.7704092207189101E-2</v>
      </c>
      <c r="E1245" s="3">
        <v>1659053.4368491501</v>
      </c>
      <c r="H1245" t="s">
        <v>2918</v>
      </c>
      <c r="I1245" t="s">
        <v>2919</v>
      </c>
      <c r="J1245" t="s">
        <v>2920</v>
      </c>
      <c r="K1245">
        <v>12.75</v>
      </c>
      <c r="L1245">
        <v>2.5329999999999999</v>
      </c>
      <c r="M1245" s="1">
        <v>100</v>
      </c>
      <c r="N1245" s="1" t="s">
        <v>2999</v>
      </c>
    </row>
    <row r="1246" spans="1:14" x14ac:dyDescent="0.25">
      <c r="A1246" t="s">
        <v>1816</v>
      </c>
      <c r="B1246" t="s">
        <v>2104</v>
      </c>
      <c r="C1246" t="s">
        <v>2103</v>
      </c>
      <c r="D1246" s="2">
        <v>2.7844212669437901E-2</v>
      </c>
      <c r="E1246" s="3">
        <v>4241901.1817950597</v>
      </c>
      <c r="H1246" t="s">
        <v>198</v>
      </c>
      <c r="I1246" t="s">
        <v>2950</v>
      </c>
      <c r="J1246" t="s">
        <v>2887</v>
      </c>
      <c r="K1246">
        <v>11.48</v>
      </c>
      <c r="L1246">
        <v>2.593</v>
      </c>
      <c r="M1246" s="1">
        <v>100</v>
      </c>
      <c r="N1246" s="1" t="s">
        <v>2999</v>
      </c>
    </row>
    <row r="1247" spans="1:14" x14ac:dyDescent="0.25">
      <c r="A1247" t="s">
        <v>2755</v>
      </c>
      <c r="B1247" t="s">
        <v>2104</v>
      </c>
      <c r="C1247" t="s">
        <v>2103</v>
      </c>
      <c r="D1247" s="2">
        <v>4.3067244862646799E-2</v>
      </c>
      <c r="E1247" s="3">
        <v>1094896.44745804</v>
      </c>
      <c r="H1247" t="s">
        <v>552</v>
      </c>
      <c r="I1247" t="s">
        <v>985</v>
      </c>
      <c r="J1247" t="s">
        <v>2977</v>
      </c>
      <c r="K1247">
        <v>14.66</v>
      </c>
      <c r="L1247">
        <v>2.7160000000000002</v>
      </c>
      <c r="M1247" s="1">
        <v>100</v>
      </c>
      <c r="N1247" s="1" t="s">
        <v>2999</v>
      </c>
    </row>
    <row r="1248" spans="1:14" x14ac:dyDescent="0.25">
      <c r="A1248" t="s">
        <v>2701</v>
      </c>
      <c r="B1248" t="s">
        <v>2104</v>
      </c>
      <c r="C1248" t="s">
        <v>2103</v>
      </c>
      <c r="D1248" s="2">
        <v>4.04159820368232E-2</v>
      </c>
      <c r="E1248" s="3">
        <v>1311350.71758962</v>
      </c>
      <c r="H1248" t="s">
        <v>541</v>
      </c>
      <c r="I1248" t="s">
        <v>2766</v>
      </c>
      <c r="J1248" t="s">
        <v>2767</v>
      </c>
      <c r="K1248">
        <v>14.03</v>
      </c>
      <c r="L1248">
        <v>2.66</v>
      </c>
      <c r="M1248" s="1">
        <v>100</v>
      </c>
      <c r="N1248" s="1" t="s">
        <v>2999</v>
      </c>
    </row>
    <row r="1249" spans="1:14" x14ac:dyDescent="0.25">
      <c r="A1249" t="s">
        <v>2709</v>
      </c>
      <c r="B1249" t="s">
        <v>2104</v>
      </c>
      <c r="C1249" t="s">
        <v>2103</v>
      </c>
      <c r="D1249" s="2">
        <v>2.8732268249942999E-2</v>
      </c>
      <c r="E1249" s="3">
        <v>3657959.53302101</v>
      </c>
      <c r="H1249" t="s">
        <v>56</v>
      </c>
      <c r="I1249" t="s">
        <v>2795</v>
      </c>
      <c r="J1249" t="s">
        <v>2796</v>
      </c>
      <c r="K1249">
        <v>14.03</v>
      </c>
      <c r="L1249">
        <v>2.5859999999999999</v>
      </c>
      <c r="M1249" s="1">
        <v>100</v>
      </c>
      <c r="N1249" s="1" t="s">
        <v>2999</v>
      </c>
    </row>
    <row r="1250" spans="1:14" x14ac:dyDescent="0.25">
      <c r="A1250" t="s">
        <v>2717</v>
      </c>
      <c r="B1250" t="s">
        <v>2104</v>
      </c>
      <c r="C1250" t="s">
        <v>2103</v>
      </c>
      <c r="D1250" s="2">
        <v>3.0690479943786899E-2</v>
      </c>
      <c r="E1250" s="3">
        <v>2956724.19389957</v>
      </c>
      <c r="H1250" t="s">
        <v>207</v>
      </c>
      <c r="I1250" t="s">
        <v>2827</v>
      </c>
      <c r="J1250" t="s">
        <v>2069</v>
      </c>
      <c r="K1250">
        <v>13.39</v>
      </c>
      <c r="L1250">
        <v>2.5</v>
      </c>
      <c r="M1250" s="1">
        <v>100</v>
      </c>
      <c r="N1250" s="1" t="s">
        <v>2999</v>
      </c>
    </row>
    <row r="1251" spans="1:14" x14ac:dyDescent="0.25">
      <c r="A1251" t="s">
        <v>2726</v>
      </c>
      <c r="B1251" t="s">
        <v>2104</v>
      </c>
      <c r="C1251" t="s">
        <v>2103</v>
      </c>
      <c r="D1251" s="2">
        <v>3.6311644364431898E-2</v>
      </c>
      <c r="E1251" s="3">
        <v>1826951.8423590499</v>
      </c>
      <c r="H1251" t="s">
        <v>41</v>
      </c>
      <c r="I1251" t="s">
        <v>2860</v>
      </c>
      <c r="J1251" t="s">
        <v>2861</v>
      </c>
      <c r="K1251">
        <v>13.39</v>
      </c>
      <c r="L1251">
        <v>2.504</v>
      </c>
      <c r="M1251" s="1">
        <v>100</v>
      </c>
      <c r="N1251" s="1" t="s">
        <v>2999</v>
      </c>
    </row>
    <row r="1252" spans="1:14" x14ac:dyDescent="0.25">
      <c r="A1252" t="s">
        <v>2735</v>
      </c>
      <c r="B1252" t="s">
        <v>2104</v>
      </c>
      <c r="C1252" t="s">
        <v>2103</v>
      </c>
      <c r="D1252" s="2">
        <v>3.1648863518163803E-2</v>
      </c>
      <c r="E1252" s="3">
        <v>2666850.0017624102</v>
      </c>
      <c r="H1252" t="s">
        <v>297</v>
      </c>
      <c r="I1252" t="s">
        <v>1210</v>
      </c>
      <c r="J1252" t="s">
        <v>2889</v>
      </c>
      <c r="K1252">
        <v>10.84</v>
      </c>
      <c r="L1252">
        <v>2.5049999999999999</v>
      </c>
      <c r="M1252" s="1">
        <v>100</v>
      </c>
      <c r="N1252" s="1" t="s">
        <v>2999</v>
      </c>
    </row>
    <row r="1253" spans="1:14" x14ac:dyDescent="0.25">
      <c r="A1253" t="s">
        <v>1823</v>
      </c>
      <c r="B1253" t="s">
        <v>2104</v>
      </c>
      <c r="C1253" t="s">
        <v>2103</v>
      </c>
      <c r="D1253" s="2">
        <v>2.6943144835228899E-2</v>
      </c>
      <c r="E1253" s="3">
        <v>5566171.9766587596</v>
      </c>
      <c r="H1253" t="s">
        <v>297</v>
      </c>
      <c r="I1253" t="s">
        <v>2923</v>
      </c>
      <c r="J1253" t="s">
        <v>2924</v>
      </c>
      <c r="K1253">
        <v>12.75</v>
      </c>
      <c r="L1253">
        <v>2.5219999999999998</v>
      </c>
      <c r="M1253" s="1">
        <v>100</v>
      </c>
      <c r="N1253" s="1" t="s">
        <v>2999</v>
      </c>
    </row>
    <row r="1254" spans="1:14" x14ac:dyDescent="0.25">
      <c r="A1254" t="s">
        <v>2748</v>
      </c>
      <c r="B1254" t="s">
        <v>2104</v>
      </c>
      <c r="C1254" t="s">
        <v>2103</v>
      </c>
      <c r="D1254" s="2">
        <v>4.1158545055326803E-2</v>
      </c>
      <c r="E1254" s="3">
        <v>1273530.6387015099</v>
      </c>
      <c r="H1254" t="s">
        <v>505</v>
      </c>
      <c r="I1254" t="s">
        <v>2953</v>
      </c>
      <c r="J1254" t="s">
        <v>2954</v>
      </c>
      <c r="K1254">
        <v>14.03</v>
      </c>
      <c r="L1254">
        <v>2.609</v>
      </c>
      <c r="M1254" s="1">
        <v>100</v>
      </c>
      <c r="N1254" s="1" t="s">
        <v>2999</v>
      </c>
    </row>
    <row r="1255" spans="1:14" x14ac:dyDescent="0.25">
      <c r="A1255" t="s">
        <v>1825</v>
      </c>
      <c r="B1255" t="s">
        <v>2104</v>
      </c>
      <c r="C1255" t="s">
        <v>2103</v>
      </c>
      <c r="D1255" s="2">
        <v>2.79327907387414E-2</v>
      </c>
      <c r="E1255" s="3">
        <v>4120137.1351927598</v>
      </c>
      <c r="H1255" t="s">
        <v>17</v>
      </c>
      <c r="I1255" t="s">
        <v>2980</v>
      </c>
      <c r="J1255" t="s">
        <v>2981</v>
      </c>
      <c r="K1255">
        <v>18.489999999999998</v>
      </c>
      <c r="L1255">
        <v>2.6320000000000001</v>
      </c>
      <c r="M1255" s="1">
        <v>100</v>
      </c>
      <c r="N1255" s="1" t="s">
        <v>2999</v>
      </c>
    </row>
    <row r="1256" spans="1:14" x14ac:dyDescent="0.25">
      <c r="A1256" t="s">
        <v>2702</v>
      </c>
      <c r="B1256" t="s">
        <v>2104</v>
      </c>
      <c r="C1256" t="s">
        <v>2103</v>
      </c>
      <c r="D1256" s="2">
        <v>3.1919667540490103E-2</v>
      </c>
      <c r="E1256" s="3">
        <v>2484392.2704990599</v>
      </c>
      <c r="H1256" t="s">
        <v>207</v>
      </c>
      <c r="I1256" t="s">
        <v>2771</v>
      </c>
      <c r="J1256" t="s">
        <v>2772</v>
      </c>
      <c r="K1256">
        <v>15.94</v>
      </c>
      <c r="L1256">
        <v>2.6219999999999999</v>
      </c>
      <c r="M1256" s="1">
        <v>100</v>
      </c>
      <c r="N1256" s="1" t="s">
        <v>2999</v>
      </c>
    </row>
    <row r="1257" spans="1:14" x14ac:dyDescent="0.25">
      <c r="A1257" t="s">
        <v>1827</v>
      </c>
      <c r="B1257" t="s">
        <v>2104</v>
      </c>
      <c r="C1257" t="s">
        <v>2103</v>
      </c>
      <c r="D1257" s="2">
        <v>2.7376245402373399E-2</v>
      </c>
      <c r="E1257" s="3">
        <v>4831190.2865852704</v>
      </c>
      <c r="H1257" t="s">
        <v>56</v>
      </c>
      <c r="I1257" t="s">
        <v>2799</v>
      </c>
      <c r="J1257" t="s">
        <v>2800</v>
      </c>
      <c r="K1257">
        <v>18.489999999999998</v>
      </c>
      <c r="L1257">
        <v>2.5249999999999999</v>
      </c>
      <c r="M1257" s="1">
        <v>100</v>
      </c>
      <c r="N1257" s="1" t="s">
        <v>2999</v>
      </c>
    </row>
    <row r="1258" spans="1:14" x14ac:dyDescent="0.25">
      <c r="A1258" t="s">
        <v>2718</v>
      </c>
      <c r="B1258" t="s">
        <v>2104</v>
      </c>
      <c r="C1258" t="s">
        <v>2103</v>
      </c>
      <c r="D1258" s="2">
        <v>2.8878016691096301E-2</v>
      </c>
      <c r="E1258" s="3">
        <v>3676809.5579854799</v>
      </c>
      <c r="H1258" t="s">
        <v>893</v>
      </c>
      <c r="I1258" t="s">
        <v>2830</v>
      </c>
      <c r="J1258" t="s">
        <v>2831</v>
      </c>
      <c r="K1258">
        <v>14.66</v>
      </c>
      <c r="L1258">
        <v>2.5219999999999998</v>
      </c>
      <c r="M1258" s="1">
        <v>100</v>
      </c>
      <c r="N1258" s="1" t="s">
        <v>2999</v>
      </c>
    </row>
    <row r="1259" spans="1:14" x14ac:dyDescent="0.25">
      <c r="A1259" t="s">
        <v>2727</v>
      </c>
      <c r="B1259" t="s">
        <v>2104</v>
      </c>
      <c r="C1259" t="s">
        <v>2103</v>
      </c>
      <c r="D1259" s="2">
        <v>4.4388699241660799E-2</v>
      </c>
      <c r="E1259" s="3">
        <v>1131572.91835327</v>
      </c>
      <c r="H1259" t="s">
        <v>663</v>
      </c>
      <c r="I1259" t="s">
        <v>2863</v>
      </c>
      <c r="J1259" t="s">
        <v>2864</v>
      </c>
      <c r="K1259">
        <v>15.94</v>
      </c>
      <c r="L1259">
        <v>2.468</v>
      </c>
      <c r="M1259" s="1">
        <v>100</v>
      </c>
      <c r="N1259" s="1" t="s">
        <v>2999</v>
      </c>
    </row>
    <row r="1260" spans="1:14" x14ac:dyDescent="0.25">
      <c r="A1260" t="s">
        <v>2736</v>
      </c>
      <c r="B1260" t="s">
        <v>2104</v>
      </c>
      <c r="C1260" t="s">
        <v>2103</v>
      </c>
      <c r="D1260" s="2">
        <v>7.1643519844683506E-2</v>
      </c>
      <c r="E1260" s="3">
        <v>396952.23549406702</v>
      </c>
      <c r="H1260" t="s">
        <v>324</v>
      </c>
      <c r="I1260" t="s">
        <v>2891</v>
      </c>
      <c r="J1260" t="s">
        <v>2892</v>
      </c>
      <c r="K1260">
        <v>17.21</v>
      </c>
      <c r="L1260">
        <v>2.4420000000000002</v>
      </c>
      <c r="M1260" s="1">
        <v>100</v>
      </c>
      <c r="N1260" s="1" t="s">
        <v>2999</v>
      </c>
    </row>
    <row r="1261" spans="1:14" x14ac:dyDescent="0.25">
      <c r="A1261" t="s">
        <v>1831</v>
      </c>
      <c r="B1261" t="s">
        <v>2104</v>
      </c>
      <c r="C1261" t="s">
        <v>2103</v>
      </c>
      <c r="D1261" s="2">
        <v>2.7795015195514701E-2</v>
      </c>
      <c r="E1261" s="3">
        <v>4465826.8427831503</v>
      </c>
      <c r="H1261" t="s">
        <v>232</v>
      </c>
      <c r="I1261" t="s">
        <v>2927</v>
      </c>
      <c r="J1261" t="s">
        <v>2928</v>
      </c>
      <c r="K1261">
        <v>11.48</v>
      </c>
      <c r="L1261">
        <v>2.488</v>
      </c>
      <c r="M1261" s="1">
        <v>100</v>
      </c>
      <c r="N1261" s="1" t="s">
        <v>2999</v>
      </c>
    </row>
    <row r="1262" spans="1:14" x14ac:dyDescent="0.25">
      <c r="A1262" t="s">
        <v>2749</v>
      </c>
      <c r="B1262" t="s">
        <v>2104</v>
      </c>
      <c r="C1262" t="s">
        <v>2103</v>
      </c>
      <c r="D1262" s="2">
        <v>6.0591204621963601E-2</v>
      </c>
      <c r="E1262" s="3">
        <v>549904.997694797</v>
      </c>
      <c r="H1262" t="s">
        <v>124</v>
      </c>
      <c r="I1262" t="s">
        <v>496</v>
      </c>
      <c r="J1262" t="s">
        <v>2504</v>
      </c>
      <c r="K1262">
        <v>15.94</v>
      </c>
      <c r="L1262">
        <v>2.5169999999999999</v>
      </c>
      <c r="M1262" s="1">
        <v>100</v>
      </c>
      <c r="N1262" s="1" t="s">
        <v>2999</v>
      </c>
    </row>
    <row r="1263" spans="1:14" x14ac:dyDescent="0.25">
      <c r="A1263" t="s">
        <v>1975</v>
      </c>
      <c r="B1263" t="s">
        <v>2104</v>
      </c>
      <c r="C1263" t="s">
        <v>2103</v>
      </c>
      <c r="D1263" s="2">
        <v>2.6843521364146E-2</v>
      </c>
      <c r="E1263" s="3">
        <v>6672686.9990813704</v>
      </c>
      <c r="H1263" t="s">
        <v>198</v>
      </c>
      <c r="I1263" t="s">
        <v>2774</v>
      </c>
      <c r="J1263" t="s">
        <v>185</v>
      </c>
      <c r="K1263">
        <v>13.39</v>
      </c>
      <c r="L1263">
        <v>2.6349999999999998</v>
      </c>
      <c r="M1263" s="1">
        <v>100</v>
      </c>
      <c r="N1263" s="1" t="s">
        <v>2999</v>
      </c>
    </row>
    <row r="1264" spans="1:14" x14ac:dyDescent="0.25">
      <c r="A1264" t="s">
        <v>1976</v>
      </c>
      <c r="B1264" t="s">
        <v>2104</v>
      </c>
      <c r="C1264" t="s">
        <v>2103</v>
      </c>
      <c r="D1264" s="2">
        <v>6.1595513002358097E-2</v>
      </c>
      <c r="E1264" s="3">
        <v>527132.68658990297</v>
      </c>
      <c r="H1264" t="s">
        <v>133</v>
      </c>
      <c r="I1264" t="s">
        <v>2803</v>
      </c>
      <c r="J1264" t="s">
        <v>2804</v>
      </c>
      <c r="K1264">
        <v>14.66</v>
      </c>
      <c r="L1264">
        <v>2.5379999999999998</v>
      </c>
      <c r="M1264" s="1">
        <v>100</v>
      </c>
      <c r="N1264" s="1" t="s">
        <v>2999</v>
      </c>
    </row>
    <row r="1265" spans="1:14" x14ac:dyDescent="0.25">
      <c r="A1265" t="s">
        <v>2719</v>
      </c>
      <c r="B1265" t="s">
        <v>2104</v>
      </c>
      <c r="C1265" t="s">
        <v>2103</v>
      </c>
      <c r="D1265" s="2">
        <v>3.1317835019338401E-2</v>
      </c>
      <c r="E1265" s="3">
        <v>2796742.2934587598</v>
      </c>
      <c r="H1265" t="s">
        <v>284</v>
      </c>
      <c r="I1265" t="s">
        <v>2834</v>
      </c>
      <c r="J1265" t="s">
        <v>1584</v>
      </c>
      <c r="K1265">
        <v>15.94</v>
      </c>
      <c r="L1265">
        <v>2.4740000000000002</v>
      </c>
      <c r="M1265" s="1">
        <v>100</v>
      </c>
      <c r="N1265" s="1" t="s">
        <v>2999</v>
      </c>
    </row>
    <row r="1266" spans="1:14" x14ac:dyDescent="0.25">
      <c r="A1266" t="s">
        <v>2728</v>
      </c>
      <c r="B1266" t="s">
        <v>2104</v>
      </c>
      <c r="C1266" t="s">
        <v>2103</v>
      </c>
      <c r="D1266" s="2">
        <v>3.2972158330095001E-2</v>
      </c>
      <c r="E1266" s="3">
        <v>2407345.3136777999</v>
      </c>
      <c r="H1266" t="s">
        <v>232</v>
      </c>
      <c r="I1266" t="s">
        <v>2866</v>
      </c>
      <c r="J1266" t="s">
        <v>2867</v>
      </c>
      <c r="K1266">
        <v>16.579999999999998</v>
      </c>
      <c r="L1266">
        <v>2.4540000000000002</v>
      </c>
      <c r="M1266" s="1">
        <v>100</v>
      </c>
      <c r="N1266" s="1" t="s">
        <v>2999</v>
      </c>
    </row>
    <row r="1267" spans="1:14" x14ac:dyDescent="0.25">
      <c r="A1267" t="s">
        <v>2737</v>
      </c>
      <c r="B1267" t="s">
        <v>2104</v>
      </c>
      <c r="C1267" t="s">
        <v>2103</v>
      </c>
      <c r="D1267" s="2">
        <v>2.6781873763347001E-2</v>
      </c>
      <c r="E1267" s="3">
        <v>6708047.2154841702</v>
      </c>
      <c r="H1267" t="s">
        <v>308</v>
      </c>
      <c r="I1267" t="s">
        <v>2895</v>
      </c>
      <c r="J1267" t="s">
        <v>2896</v>
      </c>
      <c r="K1267">
        <v>14.66</v>
      </c>
      <c r="L1267">
        <v>2.4119999999999999</v>
      </c>
      <c r="M1267" s="1">
        <v>100</v>
      </c>
      <c r="N1267" s="1" t="s">
        <v>2999</v>
      </c>
    </row>
    <row r="1268" spans="1:14" x14ac:dyDescent="0.25">
      <c r="A1268" t="s">
        <v>2742</v>
      </c>
      <c r="B1268" t="s">
        <v>2104</v>
      </c>
      <c r="C1268" t="s">
        <v>2103</v>
      </c>
      <c r="D1268" s="2">
        <v>3.9167319378661102E-2</v>
      </c>
      <c r="E1268" s="3">
        <v>1528064.219732</v>
      </c>
      <c r="H1268" t="s">
        <v>41</v>
      </c>
      <c r="I1268" t="s">
        <v>1326</v>
      </c>
      <c r="J1268" t="s">
        <v>2930</v>
      </c>
      <c r="K1268">
        <v>15.3</v>
      </c>
      <c r="L1268">
        <v>2.4670000000000001</v>
      </c>
      <c r="M1268" s="1">
        <v>100</v>
      </c>
      <c r="N1268" s="1" t="s">
        <v>2999</v>
      </c>
    </row>
    <row r="1269" spans="1:14" x14ac:dyDescent="0.25">
      <c r="A1269" t="s">
        <v>1982</v>
      </c>
      <c r="B1269" t="s">
        <v>2104</v>
      </c>
      <c r="C1269" t="s">
        <v>2103</v>
      </c>
      <c r="D1269" s="2">
        <v>6.3663761279809994E-2</v>
      </c>
      <c r="E1269" s="3">
        <v>490242.68538917298</v>
      </c>
      <c r="H1269" t="s">
        <v>232</v>
      </c>
      <c r="I1269" t="s">
        <v>2048</v>
      </c>
      <c r="J1269" t="s">
        <v>2251</v>
      </c>
      <c r="K1269">
        <v>14.03</v>
      </c>
      <c r="L1269">
        <v>2.5379999999999998</v>
      </c>
      <c r="M1269" s="1">
        <v>100</v>
      </c>
      <c r="N1269" s="1" t="s">
        <v>2999</v>
      </c>
    </row>
    <row r="1270" spans="1:14" x14ac:dyDescent="0.25">
      <c r="A1270" t="s">
        <v>1983</v>
      </c>
      <c r="B1270" t="s">
        <v>2104</v>
      </c>
      <c r="C1270" t="s">
        <v>2103</v>
      </c>
      <c r="D1270" s="2">
        <v>3.7284056950637197E-2</v>
      </c>
      <c r="E1270" s="3">
        <v>1648058.20128705</v>
      </c>
      <c r="H1270" t="s">
        <v>2614</v>
      </c>
      <c r="I1270" t="s">
        <v>729</v>
      </c>
      <c r="J1270" t="s">
        <v>2982</v>
      </c>
      <c r="K1270">
        <v>13.39</v>
      </c>
      <c r="L1270">
        <v>2.61</v>
      </c>
      <c r="M1270" s="1">
        <v>100</v>
      </c>
      <c r="N1270" s="1" t="s">
        <v>2999</v>
      </c>
    </row>
    <row r="1271" spans="1:14" x14ac:dyDescent="0.25">
      <c r="A1271" t="s">
        <v>2703</v>
      </c>
      <c r="B1271" t="s">
        <v>2104</v>
      </c>
      <c r="C1271" t="s">
        <v>2103</v>
      </c>
      <c r="D1271" s="2">
        <v>2.6815355104584201E-2</v>
      </c>
      <c r="E1271" s="3">
        <v>6517666.9814326903</v>
      </c>
      <c r="H1271" t="s">
        <v>124</v>
      </c>
      <c r="I1271" t="s">
        <v>1288</v>
      </c>
      <c r="J1271" t="s">
        <v>2452</v>
      </c>
      <c r="K1271">
        <v>15.3</v>
      </c>
      <c r="L1271">
        <v>2.5979999999999999</v>
      </c>
      <c r="M1271" s="1">
        <v>100</v>
      </c>
      <c r="N1271" s="1" t="s">
        <v>2999</v>
      </c>
    </row>
    <row r="1272" spans="1:14" x14ac:dyDescent="0.25">
      <c r="A1272" t="s">
        <v>2710</v>
      </c>
      <c r="B1272" t="s">
        <v>2104</v>
      </c>
      <c r="C1272" t="s">
        <v>2103</v>
      </c>
      <c r="D1272" s="2">
        <v>2.87234630742473E-2</v>
      </c>
      <c r="E1272" s="3">
        <v>3764688.4044906902</v>
      </c>
      <c r="H1272" t="s">
        <v>56</v>
      </c>
      <c r="I1272" t="s">
        <v>2806</v>
      </c>
      <c r="J1272" t="s">
        <v>2807</v>
      </c>
      <c r="K1272">
        <v>15.3</v>
      </c>
      <c r="L1272">
        <v>2.516</v>
      </c>
      <c r="M1272" s="1">
        <v>100</v>
      </c>
      <c r="N1272" s="1" t="s">
        <v>2999</v>
      </c>
    </row>
    <row r="1273" spans="1:14" x14ac:dyDescent="0.25">
      <c r="A1273" t="s">
        <v>1986</v>
      </c>
      <c r="B1273" t="s">
        <v>2104</v>
      </c>
      <c r="C1273" t="s">
        <v>2103</v>
      </c>
      <c r="D1273" s="2">
        <v>2.7113879535720701E-2</v>
      </c>
      <c r="E1273" s="3">
        <v>8085482.0909278505</v>
      </c>
      <c r="H1273" t="s">
        <v>207</v>
      </c>
      <c r="I1273" t="s">
        <v>2253</v>
      </c>
      <c r="J1273" t="s">
        <v>2837</v>
      </c>
      <c r="K1273">
        <v>10.84</v>
      </c>
      <c r="L1273">
        <v>2.4319999999999999</v>
      </c>
      <c r="M1273" s="1">
        <v>100</v>
      </c>
      <c r="N1273" s="1" t="s">
        <v>2999</v>
      </c>
    </row>
    <row r="1274" spans="1:14" x14ac:dyDescent="0.25">
      <c r="A1274" t="s">
        <v>2729</v>
      </c>
      <c r="B1274" t="s">
        <v>2104</v>
      </c>
      <c r="C1274" t="s">
        <v>2103</v>
      </c>
      <c r="D1274" s="2">
        <v>4.0726498333888098E-2</v>
      </c>
      <c r="E1274" s="3">
        <v>1404517.34779192</v>
      </c>
      <c r="H1274" t="s">
        <v>1078</v>
      </c>
      <c r="I1274" t="s">
        <v>2601</v>
      </c>
      <c r="J1274" t="s">
        <v>2870</v>
      </c>
      <c r="K1274">
        <v>14.66</v>
      </c>
      <c r="L1274">
        <v>2.4329999999999998</v>
      </c>
      <c r="M1274" s="1">
        <v>100</v>
      </c>
      <c r="N1274" s="1" t="s">
        <v>2999</v>
      </c>
    </row>
    <row r="1275" spans="1:14" x14ac:dyDescent="0.25">
      <c r="A1275" t="s">
        <v>1988</v>
      </c>
      <c r="B1275" t="s">
        <v>2104</v>
      </c>
      <c r="C1275" t="s">
        <v>2103</v>
      </c>
      <c r="D1275" s="2">
        <v>2.7109545289582201E-2</v>
      </c>
      <c r="E1275" s="3">
        <v>5440593.6435147999</v>
      </c>
      <c r="H1275" t="s">
        <v>284</v>
      </c>
      <c r="I1275" t="s">
        <v>1594</v>
      </c>
      <c r="J1275" t="s">
        <v>2899</v>
      </c>
      <c r="K1275">
        <v>12.11</v>
      </c>
      <c r="L1275">
        <v>2.4300000000000002</v>
      </c>
      <c r="M1275" s="1">
        <v>100</v>
      </c>
      <c r="N1275" s="1" t="s">
        <v>2999</v>
      </c>
    </row>
    <row r="1276" spans="1:14" x14ac:dyDescent="0.25">
      <c r="A1276" t="s">
        <v>1989</v>
      </c>
      <c r="B1276" t="s">
        <v>2104</v>
      </c>
      <c r="C1276" t="s">
        <v>2103</v>
      </c>
      <c r="D1276" s="2">
        <v>2.9215026906476801E-2</v>
      </c>
      <c r="E1276" s="3">
        <v>3590705.7465017801</v>
      </c>
      <c r="H1276" t="s">
        <v>114</v>
      </c>
      <c r="I1276" t="s">
        <v>972</v>
      </c>
      <c r="J1276" t="s">
        <v>2497</v>
      </c>
      <c r="K1276">
        <v>16.579999999999998</v>
      </c>
      <c r="L1276">
        <v>2.4580000000000002</v>
      </c>
      <c r="M1276" s="1">
        <v>100</v>
      </c>
      <c r="N1276" s="1" t="s">
        <v>2999</v>
      </c>
    </row>
    <row r="1277" spans="1:14" x14ac:dyDescent="0.25">
      <c r="A1277" t="s">
        <v>1991</v>
      </c>
      <c r="B1277" t="s">
        <v>2104</v>
      </c>
      <c r="C1277" t="s">
        <v>2103</v>
      </c>
      <c r="D1277" s="2">
        <v>2.6933675280977499E-2</v>
      </c>
      <c r="E1277" s="3">
        <v>5647173.1951776398</v>
      </c>
      <c r="H1277" t="s">
        <v>98</v>
      </c>
      <c r="I1277" t="s">
        <v>572</v>
      </c>
      <c r="J1277" t="s">
        <v>2959</v>
      </c>
      <c r="K1277">
        <v>12.11</v>
      </c>
      <c r="L1277">
        <v>2.5009999999999999</v>
      </c>
      <c r="M1277" s="1">
        <v>100</v>
      </c>
      <c r="N1277" s="1" t="s">
        <v>2999</v>
      </c>
    </row>
    <row r="1278" spans="1:14" x14ac:dyDescent="0.25">
      <c r="A1278" t="s">
        <v>1992</v>
      </c>
      <c r="B1278" t="s">
        <v>2104</v>
      </c>
      <c r="C1278" t="s">
        <v>2103</v>
      </c>
      <c r="D1278" s="2">
        <v>4.4702376592548103E-2</v>
      </c>
      <c r="E1278" s="3">
        <v>1043428.8487436899</v>
      </c>
      <c r="H1278" t="s">
        <v>546</v>
      </c>
      <c r="I1278" t="s">
        <v>2985</v>
      </c>
      <c r="J1278" t="s">
        <v>551</v>
      </c>
      <c r="K1278">
        <v>14.66</v>
      </c>
      <c r="L1278">
        <v>2.6139999999999999</v>
      </c>
      <c r="M1278" s="1">
        <v>100</v>
      </c>
      <c r="N1278" s="1" t="s">
        <v>2999</v>
      </c>
    </row>
    <row r="1279" spans="1:14" x14ac:dyDescent="0.25">
      <c r="A1279" t="s">
        <v>2704</v>
      </c>
      <c r="B1279" t="s">
        <v>2104</v>
      </c>
      <c r="C1279" t="s">
        <v>2103</v>
      </c>
      <c r="D1279" s="2">
        <v>2.7102224624181302E-2</v>
      </c>
      <c r="E1279" s="3">
        <v>5013118.1274914797</v>
      </c>
      <c r="H1279" t="s">
        <v>114</v>
      </c>
      <c r="I1279" t="s">
        <v>1594</v>
      </c>
      <c r="J1279" t="s">
        <v>2775</v>
      </c>
      <c r="K1279">
        <v>12.11</v>
      </c>
      <c r="L1279">
        <v>2.6320000000000001</v>
      </c>
      <c r="M1279" s="1">
        <v>100</v>
      </c>
      <c r="N1279" s="1" t="s">
        <v>2999</v>
      </c>
    </row>
    <row r="1280" spans="1:14" x14ac:dyDescent="0.25">
      <c r="A1280" t="s">
        <v>1994</v>
      </c>
      <c r="B1280" t="s">
        <v>2104</v>
      </c>
      <c r="C1280" t="s">
        <v>2103</v>
      </c>
      <c r="D1280" s="2">
        <v>2.8067555393201198E-2</v>
      </c>
      <c r="E1280" s="3">
        <v>4095307.6725639598</v>
      </c>
      <c r="H1280" t="s">
        <v>227</v>
      </c>
      <c r="I1280" t="s">
        <v>2810</v>
      </c>
      <c r="J1280" t="s">
        <v>2478</v>
      </c>
      <c r="K1280">
        <v>13.39</v>
      </c>
      <c r="L1280">
        <v>2.5659999999999998</v>
      </c>
      <c r="M1280" s="1">
        <v>100</v>
      </c>
      <c r="N1280" s="1" t="s">
        <v>2999</v>
      </c>
    </row>
    <row r="1281" spans="1:14" x14ac:dyDescent="0.25">
      <c r="A1281" t="s">
        <v>2720</v>
      </c>
      <c r="B1281" t="s">
        <v>2104</v>
      </c>
      <c r="C1281" t="s">
        <v>2103</v>
      </c>
      <c r="D1281" s="2">
        <v>4.5865641418649197E-2</v>
      </c>
      <c r="E1281" s="3">
        <v>1047062.70830655</v>
      </c>
      <c r="H1281" t="s">
        <v>484</v>
      </c>
      <c r="I1281" t="s">
        <v>2066</v>
      </c>
      <c r="J1281" t="s">
        <v>2839</v>
      </c>
      <c r="K1281">
        <v>13.39</v>
      </c>
      <c r="L1281">
        <v>2.4660000000000002</v>
      </c>
      <c r="M1281" s="1">
        <v>100</v>
      </c>
      <c r="N1281" s="1" t="s">
        <v>2999</v>
      </c>
    </row>
    <row r="1282" spans="1:14" x14ac:dyDescent="0.25">
      <c r="A1282" t="s">
        <v>2730</v>
      </c>
      <c r="B1282" t="s">
        <v>2104</v>
      </c>
      <c r="C1282" t="s">
        <v>2103</v>
      </c>
      <c r="D1282" s="2">
        <v>2.8658519097547699E-2</v>
      </c>
      <c r="E1282" s="3">
        <v>3848245.0281651602</v>
      </c>
      <c r="H1282" t="s">
        <v>297</v>
      </c>
      <c r="I1282" t="s">
        <v>2872</v>
      </c>
      <c r="J1282" t="s">
        <v>2873</v>
      </c>
      <c r="K1282">
        <v>12.11</v>
      </c>
      <c r="L1282">
        <v>2.4830000000000001</v>
      </c>
      <c r="M1282" s="1">
        <v>100</v>
      </c>
      <c r="N1282" s="1" t="s">
        <v>2999</v>
      </c>
    </row>
    <row r="1283" spans="1:14" x14ac:dyDescent="0.25">
      <c r="A1283" t="s">
        <v>2738</v>
      </c>
      <c r="B1283" t="s">
        <v>2104</v>
      </c>
      <c r="C1283" t="s">
        <v>2103</v>
      </c>
      <c r="D1283" s="2">
        <v>3.9359080457644302E-2</v>
      </c>
      <c r="E1283" s="3">
        <v>1529055.07020198</v>
      </c>
      <c r="H1283" t="s">
        <v>1145</v>
      </c>
      <c r="I1283" t="s">
        <v>616</v>
      </c>
      <c r="J1283" t="s">
        <v>2901</v>
      </c>
      <c r="K1283">
        <v>15.3</v>
      </c>
      <c r="L1283">
        <v>2.4489999999999998</v>
      </c>
      <c r="M1283" s="1">
        <v>100</v>
      </c>
      <c r="N1283" s="1" t="s">
        <v>2999</v>
      </c>
    </row>
    <row r="1284" spans="1:14" x14ac:dyDescent="0.25">
      <c r="A1284" t="s">
        <v>2743</v>
      </c>
      <c r="B1284" t="s">
        <v>2104</v>
      </c>
      <c r="C1284" t="s">
        <v>2103</v>
      </c>
      <c r="D1284" s="2">
        <v>2.8722488263052098E-2</v>
      </c>
      <c r="E1284" s="3">
        <v>3847703.3459923202</v>
      </c>
      <c r="H1284" t="s">
        <v>207</v>
      </c>
      <c r="I1284" t="s">
        <v>2935</v>
      </c>
      <c r="J1284" t="s">
        <v>2936</v>
      </c>
      <c r="K1284">
        <v>11.48</v>
      </c>
      <c r="L1284">
        <v>2.464</v>
      </c>
      <c r="M1284" s="1">
        <v>100</v>
      </c>
      <c r="N1284" s="1" t="s">
        <v>2999</v>
      </c>
    </row>
    <row r="1285" spans="1:14" x14ac:dyDescent="0.25">
      <c r="A1285" t="s">
        <v>2750</v>
      </c>
      <c r="B1285" t="s">
        <v>2104</v>
      </c>
      <c r="C1285" t="s">
        <v>2103</v>
      </c>
      <c r="D1285" s="2">
        <v>4.0670195636149403E-2</v>
      </c>
      <c r="E1285" s="3">
        <v>1374687.32298321</v>
      </c>
      <c r="H1285" t="s">
        <v>728</v>
      </c>
      <c r="I1285" t="s">
        <v>2962</v>
      </c>
      <c r="J1285" t="s">
        <v>2963</v>
      </c>
      <c r="K1285">
        <v>12.75</v>
      </c>
      <c r="L1285">
        <v>2.5150000000000001</v>
      </c>
      <c r="M1285" s="1">
        <v>100</v>
      </c>
      <c r="N1285" s="1" t="s">
        <v>2999</v>
      </c>
    </row>
    <row r="1286" spans="1:14" x14ac:dyDescent="0.25">
      <c r="A1286" t="s">
        <v>2000</v>
      </c>
      <c r="B1286" t="s">
        <v>2104</v>
      </c>
      <c r="C1286" t="s">
        <v>2103</v>
      </c>
      <c r="D1286" s="2">
        <v>2.7260313642916902E-2</v>
      </c>
      <c r="E1286" s="3">
        <v>4836370.7254950805</v>
      </c>
      <c r="H1286" t="s">
        <v>82</v>
      </c>
      <c r="I1286" t="s">
        <v>26</v>
      </c>
      <c r="J1286" t="s">
        <v>2988</v>
      </c>
      <c r="K1286">
        <v>14.03</v>
      </c>
      <c r="L1286">
        <v>2.6269999999999998</v>
      </c>
      <c r="M1286" s="1">
        <v>100</v>
      </c>
      <c r="N1286" s="1" t="s">
        <v>2999</v>
      </c>
    </row>
    <row r="1287" spans="1:14" x14ac:dyDescent="0.25">
      <c r="A1287" t="s">
        <v>1609</v>
      </c>
      <c r="B1287" t="s">
        <v>2105</v>
      </c>
      <c r="C1287" t="s">
        <v>3362</v>
      </c>
      <c r="D1287" s="2" t="s">
        <v>20</v>
      </c>
      <c r="E1287" s="3">
        <v>0</v>
      </c>
      <c r="F1287" s="3">
        <f>E1287/6</f>
        <v>0</v>
      </c>
      <c r="G1287" s="3">
        <f t="shared" ref="G1287:G1318" si="12">F1287/2</f>
        <v>0</v>
      </c>
      <c r="H1287" t="s">
        <v>207</v>
      </c>
      <c r="I1287" t="s">
        <v>201</v>
      </c>
      <c r="J1287" t="s">
        <v>207</v>
      </c>
      <c r="K1287">
        <v>14.28</v>
      </c>
      <c r="L1287">
        <v>2.5289999999999999</v>
      </c>
      <c r="M1287" s="1" t="s">
        <v>20</v>
      </c>
      <c r="N1287" s="1" t="s">
        <v>2999</v>
      </c>
    </row>
    <row r="1288" spans="1:14" x14ac:dyDescent="0.25">
      <c r="A1288" t="s">
        <v>2102</v>
      </c>
      <c r="B1288" t="s">
        <v>2105</v>
      </c>
      <c r="C1288" t="s">
        <v>3362</v>
      </c>
      <c r="D1288" s="2" t="s">
        <v>20</v>
      </c>
      <c r="E1288" s="3">
        <v>0</v>
      </c>
      <c r="F1288" s="3">
        <f>E1288/6</f>
        <v>0</v>
      </c>
      <c r="G1288" s="3">
        <f t="shared" si="12"/>
        <v>0</v>
      </c>
      <c r="H1288" t="s">
        <v>45</v>
      </c>
      <c r="I1288" t="s">
        <v>201</v>
      </c>
      <c r="J1288" t="s">
        <v>45</v>
      </c>
      <c r="K1288">
        <v>7.91</v>
      </c>
      <c r="L1288">
        <v>2.5920000000000001</v>
      </c>
      <c r="M1288" s="1" t="s">
        <v>20</v>
      </c>
      <c r="N1288" s="1" t="s">
        <v>2999</v>
      </c>
    </row>
    <row r="1289" spans="1:14" x14ac:dyDescent="0.25">
      <c r="A1289" t="s">
        <v>3360</v>
      </c>
      <c r="B1289" t="s">
        <v>2105</v>
      </c>
      <c r="C1289" t="s">
        <v>3362</v>
      </c>
      <c r="D1289" s="2">
        <v>4.2309678173744501E-2</v>
      </c>
      <c r="E1289" s="3">
        <v>12018407.6053183</v>
      </c>
      <c r="F1289" s="3">
        <f>E1289/6</f>
        <v>2003067.9342197168</v>
      </c>
      <c r="G1289" s="3">
        <f t="shared" si="12"/>
        <v>1001533.9671098584</v>
      </c>
      <c r="H1289" t="s">
        <v>663</v>
      </c>
      <c r="I1289" t="s">
        <v>2911</v>
      </c>
      <c r="J1289" t="s">
        <v>2912</v>
      </c>
      <c r="K1289">
        <v>10.84</v>
      </c>
      <c r="L1289">
        <v>2.6019999999999999</v>
      </c>
      <c r="M1289" s="1">
        <v>1000</v>
      </c>
      <c r="N1289" s="1" t="s">
        <v>2999</v>
      </c>
    </row>
    <row r="1290" spans="1:14" x14ac:dyDescent="0.25">
      <c r="A1290" t="s">
        <v>3357</v>
      </c>
      <c r="B1290" t="s">
        <v>2105</v>
      </c>
      <c r="C1290" t="s">
        <v>3362</v>
      </c>
      <c r="D1290" s="2" t="s">
        <v>20</v>
      </c>
      <c r="E1290" s="3">
        <v>0</v>
      </c>
      <c r="F1290" s="3">
        <f>E1290/6</f>
        <v>0</v>
      </c>
      <c r="G1290" s="3">
        <f t="shared" si="12"/>
        <v>0</v>
      </c>
      <c r="H1290" t="s">
        <v>130</v>
      </c>
      <c r="I1290" t="s">
        <v>201</v>
      </c>
      <c r="J1290" t="s">
        <v>130</v>
      </c>
      <c r="K1290">
        <v>10.46</v>
      </c>
      <c r="L1290">
        <v>2.5910000000000002</v>
      </c>
      <c r="M1290" s="1">
        <v>1000</v>
      </c>
      <c r="N1290" s="1" t="s">
        <v>2999</v>
      </c>
    </row>
    <row r="1291" spans="1:14" x14ac:dyDescent="0.25">
      <c r="A1291" t="s">
        <v>10</v>
      </c>
      <c r="B1291" t="s">
        <v>2105</v>
      </c>
      <c r="C1291" t="s">
        <v>3362</v>
      </c>
      <c r="D1291" s="2" t="s">
        <v>20</v>
      </c>
      <c r="E1291" s="3" t="s">
        <v>20</v>
      </c>
      <c r="G1291" s="3">
        <f t="shared" si="12"/>
        <v>0</v>
      </c>
      <c r="H1291" t="s">
        <v>2998</v>
      </c>
      <c r="I1291" t="s">
        <v>201</v>
      </c>
      <c r="J1291" t="s">
        <v>2998</v>
      </c>
      <c r="K1291">
        <v>7.91</v>
      </c>
      <c r="L1291">
        <v>2.645</v>
      </c>
      <c r="M1291" s="1" t="s">
        <v>20</v>
      </c>
      <c r="N1291" s="1" t="s">
        <v>2999</v>
      </c>
    </row>
    <row r="1292" spans="1:14" x14ac:dyDescent="0.25">
      <c r="A1292" t="s">
        <v>2711</v>
      </c>
      <c r="B1292" t="s">
        <v>2105</v>
      </c>
      <c r="C1292" t="s">
        <v>3362</v>
      </c>
      <c r="D1292" s="2">
        <v>3.08776571479801E-2</v>
      </c>
      <c r="E1292" s="3">
        <v>2852194.2685575401</v>
      </c>
      <c r="F1292" s="3">
        <f t="shared" ref="F1292:F1323" si="13">E1292/6</f>
        <v>475365.71142625669</v>
      </c>
      <c r="G1292" s="3">
        <f t="shared" si="12"/>
        <v>237682.85571312835</v>
      </c>
      <c r="H1292" t="s">
        <v>56</v>
      </c>
      <c r="I1292" t="s">
        <v>2815</v>
      </c>
      <c r="J1292" t="s">
        <v>1540</v>
      </c>
      <c r="K1292">
        <v>13.39</v>
      </c>
      <c r="L1292">
        <v>2.5379999999999998</v>
      </c>
      <c r="M1292" s="1">
        <v>100</v>
      </c>
      <c r="N1292" s="1" t="s">
        <v>2999</v>
      </c>
    </row>
    <row r="1293" spans="1:14" x14ac:dyDescent="0.25">
      <c r="A1293" t="s">
        <v>2721</v>
      </c>
      <c r="B1293" t="s">
        <v>2105</v>
      </c>
      <c r="C1293" t="s">
        <v>3362</v>
      </c>
      <c r="D1293" s="2">
        <v>4.1488581694686902E-2</v>
      </c>
      <c r="E1293" s="3">
        <v>1322087.30453732</v>
      </c>
      <c r="F1293" s="3">
        <f t="shared" si="13"/>
        <v>220347.88408955335</v>
      </c>
      <c r="G1293" s="3">
        <f t="shared" si="12"/>
        <v>110173.94204477668</v>
      </c>
      <c r="H1293" t="s">
        <v>141</v>
      </c>
      <c r="I1293" t="s">
        <v>2843</v>
      </c>
      <c r="J1293" t="s">
        <v>2844</v>
      </c>
      <c r="K1293">
        <v>13.39</v>
      </c>
      <c r="L1293">
        <v>2.4660000000000002</v>
      </c>
      <c r="M1293" s="1">
        <v>100</v>
      </c>
      <c r="N1293" s="1" t="s">
        <v>2999</v>
      </c>
    </row>
    <row r="1294" spans="1:14" x14ac:dyDescent="0.25">
      <c r="A1294" t="s">
        <v>2739</v>
      </c>
      <c r="B1294" t="s">
        <v>2105</v>
      </c>
      <c r="C1294" t="s">
        <v>3362</v>
      </c>
      <c r="D1294" s="2">
        <v>3.2054999330408097E-2</v>
      </c>
      <c r="E1294" s="3">
        <v>2591917.8915561498</v>
      </c>
      <c r="F1294" s="3">
        <f t="shared" si="13"/>
        <v>431986.31525935832</v>
      </c>
      <c r="G1294" s="3">
        <f t="shared" si="12"/>
        <v>215993.15762967916</v>
      </c>
      <c r="H1294" t="s">
        <v>130</v>
      </c>
      <c r="I1294" t="s">
        <v>2903</v>
      </c>
      <c r="J1294" t="s">
        <v>2904</v>
      </c>
      <c r="K1294">
        <v>13.39</v>
      </c>
      <c r="L1294">
        <v>2.4830000000000001</v>
      </c>
      <c r="M1294" s="1">
        <v>100</v>
      </c>
      <c r="N1294" s="1" t="s">
        <v>2999</v>
      </c>
    </row>
    <row r="1295" spans="1:14" x14ac:dyDescent="0.25">
      <c r="A1295" t="s">
        <v>2744</v>
      </c>
      <c r="B1295" t="s">
        <v>2105</v>
      </c>
      <c r="C1295" t="s">
        <v>3362</v>
      </c>
      <c r="D1295" s="2">
        <v>3.0690717572811901E-2</v>
      </c>
      <c r="E1295" s="3">
        <v>3038685.65554618</v>
      </c>
      <c r="F1295" s="3">
        <f t="shared" si="13"/>
        <v>506447.60925769666</v>
      </c>
      <c r="G1295" s="3">
        <f t="shared" si="12"/>
        <v>253223.80462884833</v>
      </c>
      <c r="H1295" t="s">
        <v>324</v>
      </c>
      <c r="I1295" t="s">
        <v>2827</v>
      </c>
      <c r="J1295" t="s">
        <v>2941</v>
      </c>
      <c r="K1295">
        <v>10.199999999999999</v>
      </c>
      <c r="L1295">
        <v>2.4329999999999998</v>
      </c>
      <c r="M1295" s="1">
        <v>100</v>
      </c>
      <c r="N1295" s="1" t="s">
        <v>2999</v>
      </c>
    </row>
    <row r="1296" spans="1:14" x14ac:dyDescent="0.25">
      <c r="A1296" t="s">
        <v>2751</v>
      </c>
      <c r="B1296" t="s">
        <v>2105</v>
      </c>
      <c r="C1296" t="s">
        <v>3362</v>
      </c>
      <c r="D1296" s="2">
        <v>4.3883974284359202E-2</v>
      </c>
      <c r="E1296" s="3">
        <v>1143322.1170249199</v>
      </c>
      <c r="F1296" s="3">
        <f t="shared" si="13"/>
        <v>190553.68617082</v>
      </c>
      <c r="G1296" s="3">
        <f t="shared" si="12"/>
        <v>95276.843085410001</v>
      </c>
      <c r="H1296" t="s">
        <v>287</v>
      </c>
      <c r="I1296" t="s">
        <v>2967</v>
      </c>
      <c r="J1296" t="s">
        <v>2968</v>
      </c>
      <c r="K1296">
        <v>12.11</v>
      </c>
      <c r="L1296">
        <v>2.5009999999999999</v>
      </c>
      <c r="M1296" s="1">
        <v>100</v>
      </c>
      <c r="N1296" s="1" t="s">
        <v>2999</v>
      </c>
    </row>
    <row r="1297" spans="1:14" x14ac:dyDescent="0.25">
      <c r="A1297" t="s">
        <v>3659</v>
      </c>
      <c r="B1297" t="s">
        <v>2105</v>
      </c>
      <c r="C1297" t="s">
        <v>3362</v>
      </c>
      <c r="D1297" s="2">
        <v>3.9721343493868098E-2</v>
      </c>
      <c r="E1297" s="3">
        <v>1372760.03536584</v>
      </c>
      <c r="F1297" s="3">
        <f t="shared" si="13"/>
        <v>228793.33922763998</v>
      </c>
      <c r="G1297" s="3">
        <f t="shared" si="12"/>
        <v>114396.66961381999</v>
      </c>
      <c r="H1297" t="s">
        <v>887</v>
      </c>
      <c r="I1297" t="s">
        <v>1457</v>
      </c>
      <c r="J1297" t="s">
        <v>3662</v>
      </c>
      <c r="K1297">
        <v>14.03</v>
      </c>
      <c r="L1297">
        <v>2.6549999999999998</v>
      </c>
      <c r="M1297" s="1">
        <v>100</v>
      </c>
      <c r="N1297" s="1" t="s">
        <v>2999</v>
      </c>
    </row>
    <row r="1298" spans="1:14" x14ac:dyDescent="0.25">
      <c r="A1298" t="s">
        <v>2705</v>
      </c>
      <c r="B1298" t="s">
        <v>2105</v>
      </c>
      <c r="C1298" t="s">
        <v>3362</v>
      </c>
      <c r="D1298" s="2">
        <v>4.4267667724891401E-2</v>
      </c>
      <c r="E1298" s="3">
        <v>1065096.35903505</v>
      </c>
      <c r="F1298" s="3">
        <f t="shared" si="13"/>
        <v>177516.059839175</v>
      </c>
      <c r="G1298" s="3">
        <f t="shared" si="12"/>
        <v>88758.029919587498</v>
      </c>
      <c r="H1298" t="s">
        <v>681</v>
      </c>
      <c r="I1298" t="s">
        <v>2778</v>
      </c>
      <c r="J1298" t="s">
        <v>2556</v>
      </c>
      <c r="K1298">
        <v>12.11</v>
      </c>
      <c r="L1298">
        <v>2.649</v>
      </c>
      <c r="M1298" s="1">
        <v>100</v>
      </c>
      <c r="N1298" s="1" t="s">
        <v>2999</v>
      </c>
    </row>
    <row r="1299" spans="1:14" x14ac:dyDescent="0.25">
      <c r="A1299" t="s">
        <v>2722</v>
      </c>
      <c r="B1299" t="s">
        <v>2105</v>
      </c>
      <c r="C1299" t="s">
        <v>3362</v>
      </c>
      <c r="D1299" s="2">
        <v>3.10510273868746E-2</v>
      </c>
      <c r="E1299" s="3">
        <v>2810630.0975703001</v>
      </c>
      <c r="F1299" s="3">
        <f t="shared" si="13"/>
        <v>468438.34959505004</v>
      </c>
      <c r="G1299" s="3">
        <f t="shared" si="12"/>
        <v>234219.17479752502</v>
      </c>
      <c r="H1299" t="s">
        <v>198</v>
      </c>
      <c r="I1299" t="s">
        <v>2532</v>
      </c>
      <c r="J1299" t="s">
        <v>2489</v>
      </c>
      <c r="K1299">
        <v>13.39</v>
      </c>
      <c r="L1299">
        <v>2.5289999999999999</v>
      </c>
      <c r="M1299" s="1">
        <v>100</v>
      </c>
      <c r="N1299" s="1" t="s">
        <v>2999</v>
      </c>
    </row>
    <row r="1300" spans="1:14" x14ac:dyDescent="0.25">
      <c r="A1300" t="s">
        <v>2740</v>
      </c>
      <c r="B1300" t="s">
        <v>2105</v>
      </c>
      <c r="C1300" t="s">
        <v>3362</v>
      </c>
      <c r="D1300" s="2">
        <v>3.5827003235709198E-2</v>
      </c>
      <c r="E1300" s="3">
        <v>1924455.01761733</v>
      </c>
      <c r="F1300" s="3">
        <f t="shared" si="13"/>
        <v>320742.50293622166</v>
      </c>
      <c r="G1300" s="3">
        <f t="shared" si="12"/>
        <v>160371.25146811083</v>
      </c>
      <c r="H1300" t="s">
        <v>1081</v>
      </c>
      <c r="I1300" t="s">
        <v>2907</v>
      </c>
      <c r="J1300" t="s">
        <v>2908</v>
      </c>
      <c r="K1300">
        <v>12.11</v>
      </c>
      <c r="L1300">
        <v>2.4750000000000001</v>
      </c>
      <c r="M1300" s="1">
        <v>100</v>
      </c>
      <c r="N1300" s="1" t="s">
        <v>2999</v>
      </c>
    </row>
    <row r="1301" spans="1:14" x14ac:dyDescent="0.25">
      <c r="A1301" t="s">
        <v>2745</v>
      </c>
      <c r="B1301" t="s">
        <v>2105</v>
      </c>
      <c r="C1301" t="s">
        <v>3362</v>
      </c>
      <c r="D1301" s="2">
        <v>4.4478755288209097E-2</v>
      </c>
      <c r="E1301" s="3">
        <v>1123181.5502376801</v>
      </c>
      <c r="F1301" s="3">
        <f t="shared" si="13"/>
        <v>187196.92503961336</v>
      </c>
      <c r="G1301" s="3">
        <f t="shared" si="12"/>
        <v>93598.462519806679</v>
      </c>
      <c r="H1301" t="s">
        <v>363</v>
      </c>
      <c r="I1301" t="s">
        <v>2944</v>
      </c>
      <c r="J1301" t="s">
        <v>2945</v>
      </c>
      <c r="K1301">
        <v>12.11</v>
      </c>
      <c r="L1301">
        <v>2.48</v>
      </c>
      <c r="M1301" s="1">
        <v>100</v>
      </c>
      <c r="N1301" s="1" t="s">
        <v>2999</v>
      </c>
    </row>
    <row r="1302" spans="1:14" x14ac:dyDescent="0.25">
      <c r="A1302" t="s">
        <v>2752</v>
      </c>
      <c r="B1302" t="s">
        <v>2105</v>
      </c>
      <c r="C1302" t="s">
        <v>3362</v>
      </c>
      <c r="D1302" s="2">
        <v>3.6373333368263802E-2</v>
      </c>
      <c r="E1302" s="3">
        <v>1783594.14835369</v>
      </c>
      <c r="F1302" s="3">
        <f t="shared" si="13"/>
        <v>297265.69139228167</v>
      </c>
      <c r="G1302" s="3">
        <f t="shared" si="12"/>
        <v>148632.84569614084</v>
      </c>
      <c r="H1302" t="s">
        <v>24</v>
      </c>
      <c r="I1302" t="s">
        <v>1113</v>
      </c>
      <c r="J1302" t="s">
        <v>2233</v>
      </c>
      <c r="K1302">
        <v>12.11</v>
      </c>
      <c r="L1302">
        <v>2.54</v>
      </c>
      <c r="M1302" s="1">
        <v>100</v>
      </c>
      <c r="N1302" s="1" t="s">
        <v>2999</v>
      </c>
    </row>
    <row r="1303" spans="1:14" x14ac:dyDescent="0.25">
      <c r="A1303" t="s">
        <v>2756</v>
      </c>
      <c r="B1303" t="s">
        <v>2105</v>
      </c>
      <c r="C1303" t="s">
        <v>3362</v>
      </c>
      <c r="D1303" s="2">
        <v>4.7005939191593002E-2</v>
      </c>
      <c r="E1303" s="3">
        <v>931054.52422460099</v>
      </c>
      <c r="F1303" s="3">
        <f t="shared" si="13"/>
        <v>155175.75403743351</v>
      </c>
      <c r="G1303" s="3">
        <f t="shared" si="12"/>
        <v>77587.877018716754</v>
      </c>
      <c r="H1303" t="s">
        <v>757</v>
      </c>
      <c r="I1303" t="s">
        <v>1220</v>
      </c>
      <c r="J1303" t="s">
        <v>2992</v>
      </c>
      <c r="K1303">
        <v>13.39</v>
      </c>
      <c r="L1303">
        <v>2.621</v>
      </c>
      <c r="M1303" s="1">
        <v>100</v>
      </c>
      <c r="N1303" s="1" t="s">
        <v>2999</v>
      </c>
    </row>
    <row r="1304" spans="1:14" x14ac:dyDescent="0.25">
      <c r="A1304" t="s">
        <v>2706</v>
      </c>
      <c r="B1304" t="s">
        <v>2105</v>
      </c>
      <c r="C1304" t="s">
        <v>3362</v>
      </c>
      <c r="D1304" s="2">
        <v>2.8177709519820501E-2</v>
      </c>
      <c r="E1304" s="3">
        <v>3970838.1039461601</v>
      </c>
      <c r="F1304" s="3">
        <f t="shared" si="13"/>
        <v>661806.35065769334</v>
      </c>
      <c r="G1304" s="3">
        <f t="shared" si="12"/>
        <v>330903.17532884667</v>
      </c>
      <c r="H1304" t="s">
        <v>45</v>
      </c>
      <c r="I1304" t="s">
        <v>113</v>
      </c>
      <c r="J1304" t="s">
        <v>537</v>
      </c>
      <c r="K1304">
        <v>10.84</v>
      </c>
      <c r="L1304">
        <v>2.6219999999999999</v>
      </c>
      <c r="M1304" s="1">
        <v>100</v>
      </c>
      <c r="N1304" s="1" t="s">
        <v>2999</v>
      </c>
    </row>
    <row r="1305" spans="1:14" x14ac:dyDescent="0.25">
      <c r="A1305" t="s">
        <v>2712</v>
      </c>
      <c r="B1305" t="s">
        <v>2105</v>
      </c>
      <c r="C1305" t="s">
        <v>3362</v>
      </c>
      <c r="D1305" s="2">
        <v>2.7121905438693101E-2</v>
      </c>
      <c r="E1305" s="3">
        <v>5082163.3608615603</v>
      </c>
      <c r="F1305" s="3">
        <f t="shared" si="13"/>
        <v>847027.22681026009</v>
      </c>
      <c r="G1305" s="3">
        <f t="shared" si="12"/>
        <v>423513.61340513005</v>
      </c>
      <c r="H1305" t="s">
        <v>27</v>
      </c>
      <c r="I1305" t="s">
        <v>2593</v>
      </c>
      <c r="J1305" t="s">
        <v>2818</v>
      </c>
      <c r="K1305">
        <v>14.66</v>
      </c>
      <c r="L1305">
        <v>2.5750000000000002</v>
      </c>
      <c r="M1305" s="1">
        <v>100</v>
      </c>
      <c r="N1305" s="1" t="s">
        <v>2999</v>
      </c>
    </row>
    <row r="1306" spans="1:14" x14ac:dyDescent="0.25">
      <c r="A1306" t="s">
        <v>2723</v>
      </c>
      <c r="B1306" t="s">
        <v>2105</v>
      </c>
      <c r="C1306" t="s">
        <v>3362</v>
      </c>
      <c r="D1306" s="2">
        <v>3.1201994730357001E-2</v>
      </c>
      <c r="E1306" s="3">
        <v>2754102.7557701198</v>
      </c>
      <c r="F1306" s="3">
        <f t="shared" si="13"/>
        <v>459017.12596168666</v>
      </c>
      <c r="G1306" s="3">
        <f t="shared" si="12"/>
        <v>229508.56298084333</v>
      </c>
      <c r="H1306" t="s">
        <v>324</v>
      </c>
      <c r="I1306" t="s">
        <v>2849</v>
      </c>
      <c r="J1306" t="s">
        <v>2850</v>
      </c>
      <c r="K1306">
        <v>10.84</v>
      </c>
      <c r="L1306">
        <v>2.5419999999999998</v>
      </c>
      <c r="M1306" s="1">
        <v>100</v>
      </c>
      <c r="N1306" s="1" t="s">
        <v>2999</v>
      </c>
    </row>
    <row r="1307" spans="1:14" x14ac:dyDescent="0.25">
      <c r="A1307" t="s">
        <v>2732</v>
      </c>
      <c r="B1307" t="s">
        <v>2105</v>
      </c>
      <c r="C1307" t="s">
        <v>3362</v>
      </c>
      <c r="D1307" s="2">
        <v>2.7142974448202899E-2</v>
      </c>
      <c r="E1307" s="3">
        <v>5238546.03045482</v>
      </c>
      <c r="F1307" s="3">
        <f t="shared" si="13"/>
        <v>873091.00507580338</v>
      </c>
      <c r="G1307" s="3">
        <f t="shared" si="12"/>
        <v>436545.50253790169</v>
      </c>
      <c r="H1307" t="s">
        <v>893</v>
      </c>
      <c r="I1307" t="s">
        <v>2878</v>
      </c>
      <c r="J1307" t="s">
        <v>2879</v>
      </c>
      <c r="K1307">
        <v>10.84</v>
      </c>
      <c r="L1307">
        <v>2.4969999999999999</v>
      </c>
      <c r="M1307" s="1">
        <v>100</v>
      </c>
      <c r="N1307" s="1" t="s">
        <v>2999</v>
      </c>
    </row>
    <row r="1308" spans="1:14" x14ac:dyDescent="0.25">
      <c r="A1308" t="s">
        <v>1696</v>
      </c>
      <c r="B1308" t="s">
        <v>2105</v>
      </c>
      <c r="C1308" t="s">
        <v>3362</v>
      </c>
      <c r="D1308" s="2">
        <v>3.5407991556764599E-2</v>
      </c>
      <c r="E1308" s="3">
        <v>1970306.61318549</v>
      </c>
      <c r="F1308" s="3">
        <f t="shared" si="13"/>
        <v>328384.43553091498</v>
      </c>
      <c r="G1308" s="3">
        <f t="shared" si="12"/>
        <v>164192.21776545749</v>
      </c>
      <c r="H1308" t="s">
        <v>753</v>
      </c>
      <c r="I1308" t="s">
        <v>2624</v>
      </c>
      <c r="J1308" t="s">
        <v>2213</v>
      </c>
      <c r="K1308">
        <v>10.84</v>
      </c>
      <c r="L1308">
        <v>2.5099999999999998</v>
      </c>
      <c r="M1308" s="1">
        <v>100</v>
      </c>
      <c r="N1308" s="1" t="s">
        <v>2999</v>
      </c>
    </row>
    <row r="1309" spans="1:14" x14ac:dyDescent="0.25">
      <c r="A1309" t="s">
        <v>2753</v>
      </c>
      <c r="B1309" t="s">
        <v>2105</v>
      </c>
      <c r="C1309" t="s">
        <v>3362</v>
      </c>
      <c r="D1309" s="2">
        <v>4.6742086291014798E-2</v>
      </c>
      <c r="E1309" s="3">
        <v>965963.363445692</v>
      </c>
      <c r="F1309" s="3">
        <f t="shared" si="13"/>
        <v>160993.89390761533</v>
      </c>
      <c r="G1309" s="3">
        <f t="shared" si="12"/>
        <v>80496.946953807666</v>
      </c>
      <c r="H1309" t="s">
        <v>757</v>
      </c>
      <c r="I1309" t="s">
        <v>2973</v>
      </c>
      <c r="J1309" t="s">
        <v>2974</v>
      </c>
      <c r="K1309">
        <v>13.39</v>
      </c>
      <c r="L1309">
        <v>2.5590000000000002</v>
      </c>
      <c r="M1309" s="1">
        <v>100</v>
      </c>
      <c r="N1309" s="1" t="s">
        <v>2999</v>
      </c>
    </row>
    <row r="1310" spans="1:14" x14ac:dyDescent="0.25">
      <c r="A1310" t="s">
        <v>2757</v>
      </c>
      <c r="B1310" t="s">
        <v>2105</v>
      </c>
      <c r="C1310" t="s">
        <v>3362</v>
      </c>
      <c r="D1310" s="2">
        <v>3.3002680460701803E-2</v>
      </c>
      <c r="E1310" s="3">
        <v>2376739.4908042401</v>
      </c>
      <c r="F1310" s="3">
        <f t="shared" si="13"/>
        <v>396123.24846737337</v>
      </c>
      <c r="G1310" s="3">
        <f t="shared" si="12"/>
        <v>198061.62423368669</v>
      </c>
      <c r="H1310" t="s">
        <v>1021</v>
      </c>
      <c r="I1310" t="s">
        <v>2996</v>
      </c>
      <c r="J1310" t="s">
        <v>2997</v>
      </c>
      <c r="K1310">
        <v>10.84</v>
      </c>
      <c r="L1310">
        <v>2.625</v>
      </c>
      <c r="M1310" s="1">
        <v>100</v>
      </c>
      <c r="N1310" s="1" t="s">
        <v>2999</v>
      </c>
    </row>
    <row r="1311" spans="1:14" x14ac:dyDescent="0.25">
      <c r="A1311" t="s">
        <v>2707</v>
      </c>
      <c r="B1311" t="s">
        <v>2105</v>
      </c>
      <c r="C1311" t="s">
        <v>3362</v>
      </c>
      <c r="D1311" s="2">
        <v>3.2136885714419097E-2</v>
      </c>
      <c r="E1311" s="3">
        <v>2433076.5002228799</v>
      </c>
      <c r="F1311" s="3">
        <f t="shared" si="13"/>
        <v>405512.75003714667</v>
      </c>
      <c r="G1311" s="3">
        <f t="shared" si="12"/>
        <v>202756.37501857334</v>
      </c>
      <c r="H1311" t="s">
        <v>1103</v>
      </c>
      <c r="I1311" t="s">
        <v>2783</v>
      </c>
      <c r="J1311" t="s">
        <v>1530</v>
      </c>
      <c r="K1311">
        <v>13.39</v>
      </c>
      <c r="L1311">
        <v>2.6520000000000001</v>
      </c>
      <c r="M1311" s="1">
        <v>100</v>
      </c>
      <c r="N1311" s="1" t="s">
        <v>2999</v>
      </c>
    </row>
    <row r="1312" spans="1:14" x14ac:dyDescent="0.25">
      <c r="A1312" t="s">
        <v>2713</v>
      </c>
      <c r="B1312" t="s">
        <v>2105</v>
      </c>
      <c r="C1312" t="s">
        <v>3362</v>
      </c>
      <c r="D1312" s="2">
        <v>2.6798774428563502E-2</v>
      </c>
      <c r="E1312" s="3">
        <v>6261357.2182489699</v>
      </c>
      <c r="F1312" s="3">
        <f t="shared" si="13"/>
        <v>1043559.5363748283</v>
      </c>
      <c r="G1312" s="3">
        <f t="shared" si="12"/>
        <v>521779.76818741416</v>
      </c>
      <c r="H1312" t="s">
        <v>284</v>
      </c>
      <c r="I1312" t="s">
        <v>2819</v>
      </c>
      <c r="J1312" t="s">
        <v>2482</v>
      </c>
      <c r="K1312">
        <v>12.11</v>
      </c>
      <c r="L1312">
        <v>2.62</v>
      </c>
      <c r="M1312" s="1">
        <v>100</v>
      </c>
      <c r="N1312" s="1" t="s">
        <v>2999</v>
      </c>
    </row>
    <row r="1313" spans="1:14" x14ac:dyDescent="0.25">
      <c r="A1313" t="s">
        <v>2699</v>
      </c>
      <c r="B1313" t="s">
        <v>2105</v>
      </c>
      <c r="C1313" t="s">
        <v>3362</v>
      </c>
      <c r="D1313" s="2">
        <v>3.6187775543262198E-2</v>
      </c>
      <c r="E1313" s="3">
        <v>1735394.9626001001</v>
      </c>
      <c r="F1313" s="3">
        <f t="shared" si="13"/>
        <v>289232.49376668333</v>
      </c>
      <c r="G1313" s="3">
        <f t="shared" si="12"/>
        <v>144616.24688334166</v>
      </c>
      <c r="H1313" t="s">
        <v>273</v>
      </c>
      <c r="I1313" t="s">
        <v>2759</v>
      </c>
      <c r="J1313" t="s">
        <v>2760</v>
      </c>
      <c r="K1313">
        <v>15.94</v>
      </c>
      <c r="L1313">
        <v>2.6539999999999999</v>
      </c>
      <c r="M1313" s="1">
        <v>100</v>
      </c>
      <c r="N1313" s="1" t="s">
        <v>2999</v>
      </c>
    </row>
    <row r="1314" spans="1:14" x14ac:dyDescent="0.25">
      <c r="A1314" t="s">
        <v>1738</v>
      </c>
      <c r="B1314" t="s">
        <v>2105</v>
      </c>
      <c r="C1314" t="s">
        <v>3362</v>
      </c>
      <c r="D1314" s="2">
        <v>2.70096664403656E-2</v>
      </c>
      <c r="E1314" s="3">
        <v>5051050.10366173</v>
      </c>
      <c r="F1314" s="3">
        <f t="shared" si="13"/>
        <v>841841.6839436217</v>
      </c>
      <c r="G1314" s="3">
        <f t="shared" si="12"/>
        <v>420920.84197181085</v>
      </c>
      <c r="H1314" t="s">
        <v>308</v>
      </c>
      <c r="I1314" t="s">
        <v>2786</v>
      </c>
      <c r="J1314" t="s">
        <v>2787</v>
      </c>
      <c r="K1314">
        <v>14.03</v>
      </c>
      <c r="L1314">
        <v>2.6989999999999998</v>
      </c>
      <c r="M1314" s="1">
        <v>100</v>
      </c>
      <c r="N1314" s="1" t="s">
        <v>2999</v>
      </c>
    </row>
    <row r="1315" spans="1:14" x14ac:dyDescent="0.25">
      <c r="A1315" t="s">
        <v>2714</v>
      </c>
      <c r="B1315" t="s">
        <v>2105</v>
      </c>
      <c r="C1315" t="s">
        <v>3362</v>
      </c>
      <c r="D1315" s="2">
        <v>2.6912327015574E-2</v>
      </c>
      <c r="E1315" s="3">
        <v>5372657.6872361097</v>
      </c>
      <c r="F1315" s="3">
        <f t="shared" si="13"/>
        <v>895442.94787268492</v>
      </c>
      <c r="G1315" s="3">
        <f t="shared" si="12"/>
        <v>447721.47393634246</v>
      </c>
      <c r="H1315" t="s">
        <v>347</v>
      </c>
      <c r="I1315" t="s">
        <v>2820</v>
      </c>
      <c r="J1315" t="s">
        <v>2544</v>
      </c>
      <c r="K1315">
        <v>13.39</v>
      </c>
      <c r="L1315">
        <v>2.6960000000000002</v>
      </c>
      <c r="M1315" s="1">
        <v>100</v>
      </c>
      <c r="N1315" s="1" t="s">
        <v>2999</v>
      </c>
    </row>
    <row r="1316" spans="1:14" x14ac:dyDescent="0.25">
      <c r="A1316" t="s">
        <v>2724</v>
      </c>
      <c r="B1316" t="s">
        <v>2105</v>
      </c>
      <c r="C1316" t="s">
        <v>3362</v>
      </c>
      <c r="D1316" s="2">
        <v>2.7813392238779301E-2</v>
      </c>
      <c r="E1316" s="3">
        <v>4185681.8477142002</v>
      </c>
      <c r="F1316" s="3">
        <f t="shared" si="13"/>
        <v>697613.64128570003</v>
      </c>
      <c r="G1316" s="3">
        <f t="shared" si="12"/>
        <v>348806.82064285001</v>
      </c>
      <c r="H1316" t="s">
        <v>115</v>
      </c>
      <c r="I1316" t="s">
        <v>2854</v>
      </c>
      <c r="J1316" t="s">
        <v>2855</v>
      </c>
      <c r="K1316">
        <v>12.11</v>
      </c>
      <c r="L1316">
        <v>2.67</v>
      </c>
      <c r="M1316" s="1">
        <v>100</v>
      </c>
      <c r="N1316" s="1" t="s">
        <v>2999</v>
      </c>
    </row>
    <row r="1317" spans="1:14" x14ac:dyDescent="0.25">
      <c r="A1317" t="s">
        <v>2733</v>
      </c>
      <c r="B1317" t="s">
        <v>2105</v>
      </c>
      <c r="C1317" t="s">
        <v>3362</v>
      </c>
      <c r="D1317" s="2">
        <v>3.9382833015626902E-2</v>
      </c>
      <c r="E1317" s="3">
        <v>1550746.24246229</v>
      </c>
      <c r="F1317" s="3">
        <f t="shared" si="13"/>
        <v>258457.70707704834</v>
      </c>
      <c r="G1317" s="3">
        <f t="shared" si="12"/>
        <v>129228.85353852417</v>
      </c>
      <c r="H1317" t="s">
        <v>2883</v>
      </c>
      <c r="I1317" t="s">
        <v>2884</v>
      </c>
      <c r="J1317" t="s">
        <v>2885</v>
      </c>
      <c r="K1317">
        <v>12.75</v>
      </c>
      <c r="L1317">
        <v>2.6970000000000001</v>
      </c>
      <c r="M1317" s="1">
        <v>100</v>
      </c>
      <c r="N1317" s="1" t="s">
        <v>2999</v>
      </c>
    </row>
    <row r="1318" spans="1:14" x14ac:dyDescent="0.25">
      <c r="A1318" t="s">
        <v>1742</v>
      </c>
      <c r="B1318" t="s">
        <v>2105</v>
      </c>
      <c r="C1318" t="s">
        <v>3362</v>
      </c>
      <c r="D1318" s="2">
        <v>2.6959436068535101E-2</v>
      </c>
      <c r="E1318" s="3">
        <v>5236198.84838273</v>
      </c>
      <c r="F1318" s="3">
        <f t="shared" si="13"/>
        <v>872699.80806378834</v>
      </c>
      <c r="G1318" s="3">
        <f t="shared" si="12"/>
        <v>436349.90403189417</v>
      </c>
      <c r="H1318" t="s">
        <v>124</v>
      </c>
      <c r="I1318" t="s">
        <v>155</v>
      </c>
      <c r="J1318" t="s">
        <v>2915</v>
      </c>
      <c r="K1318">
        <v>12.11</v>
      </c>
      <c r="L1318">
        <v>2.6829999999999998</v>
      </c>
      <c r="M1318" s="1">
        <v>100</v>
      </c>
      <c r="N1318" s="1" t="s">
        <v>2999</v>
      </c>
    </row>
    <row r="1319" spans="1:14" x14ac:dyDescent="0.25">
      <c r="A1319" t="s">
        <v>2746</v>
      </c>
      <c r="B1319" t="s">
        <v>2105</v>
      </c>
      <c r="C1319" t="s">
        <v>3362</v>
      </c>
      <c r="D1319" s="2">
        <v>2.8458528778121901E-2</v>
      </c>
      <c r="E1319" s="3">
        <v>3655545.8791487701</v>
      </c>
      <c r="F1319" s="3">
        <f t="shared" si="13"/>
        <v>609257.64652479498</v>
      </c>
      <c r="G1319" s="3">
        <f t="shared" ref="G1319:G1350" si="14">F1319/2</f>
        <v>304628.82326239749</v>
      </c>
      <c r="H1319" t="s">
        <v>232</v>
      </c>
      <c r="I1319" t="s">
        <v>2947</v>
      </c>
      <c r="J1319" t="s">
        <v>1065</v>
      </c>
      <c r="K1319">
        <v>12.11</v>
      </c>
      <c r="L1319">
        <v>2.7010000000000001</v>
      </c>
      <c r="M1319" s="1">
        <v>100</v>
      </c>
      <c r="N1319" s="1" t="s">
        <v>2999</v>
      </c>
    </row>
    <row r="1320" spans="1:14" x14ac:dyDescent="0.25">
      <c r="A1320" t="s">
        <v>2754</v>
      </c>
      <c r="B1320" t="s">
        <v>2105</v>
      </c>
      <c r="C1320" t="s">
        <v>3362</v>
      </c>
      <c r="D1320" s="2">
        <v>2.7212728091041399E-2</v>
      </c>
      <c r="E1320" s="3">
        <v>4761650.6065803897</v>
      </c>
      <c r="F1320" s="3">
        <f t="shared" si="13"/>
        <v>793608.43443006498</v>
      </c>
      <c r="G1320" s="3">
        <f t="shared" si="14"/>
        <v>396804.21721503249</v>
      </c>
      <c r="H1320" t="s">
        <v>53</v>
      </c>
      <c r="I1320" t="s">
        <v>1194</v>
      </c>
      <c r="J1320" t="s">
        <v>2976</v>
      </c>
      <c r="K1320">
        <v>14.66</v>
      </c>
      <c r="L1320">
        <v>2.7080000000000002</v>
      </c>
      <c r="M1320" s="1">
        <v>100</v>
      </c>
      <c r="N1320" s="1" t="s">
        <v>2999</v>
      </c>
    </row>
    <row r="1321" spans="1:14" x14ac:dyDescent="0.25">
      <c r="A1321" t="s">
        <v>1745</v>
      </c>
      <c r="B1321" t="s">
        <v>2105</v>
      </c>
      <c r="C1321" t="s">
        <v>3362</v>
      </c>
      <c r="D1321" s="2">
        <v>2.9434950548678101E-2</v>
      </c>
      <c r="E1321" s="3">
        <v>3251311.8000737899</v>
      </c>
      <c r="F1321" s="3">
        <f t="shared" si="13"/>
        <v>541885.30001229828</v>
      </c>
      <c r="G1321" s="3">
        <f t="shared" si="14"/>
        <v>270942.65000614914</v>
      </c>
      <c r="H1321" t="s">
        <v>88</v>
      </c>
      <c r="I1321" t="s">
        <v>2763</v>
      </c>
      <c r="J1321" t="s">
        <v>2764</v>
      </c>
      <c r="K1321">
        <v>14.66</v>
      </c>
      <c r="L1321">
        <v>2.65</v>
      </c>
      <c r="M1321" s="1">
        <v>100</v>
      </c>
      <c r="N1321" s="1" t="s">
        <v>2999</v>
      </c>
    </row>
    <row r="1322" spans="1:14" x14ac:dyDescent="0.25">
      <c r="A1322" t="s">
        <v>1746</v>
      </c>
      <c r="B1322" t="s">
        <v>2105</v>
      </c>
      <c r="C1322" t="s">
        <v>3362</v>
      </c>
      <c r="D1322" s="2">
        <v>2.8216393437912601E-2</v>
      </c>
      <c r="E1322" s="3">
        <v>3878095.2663066401</v>
      </c>
      <c r="F1322" s="3">
        <f t="shared" si="13"/>
        <v>646349.21105110669</v>
      </c>
      <c r="G1322" s="3">
        <f t="shared" si="14"/>
        <v>323174.60552555334</v>
      </c>
      <c r="H1322" t="s">
        <v>27</v>
      </c>
      <c r="I1322" t="s">
        <v>2789</v>
      </c>
      <c r="J1322" t="s">
        <v>2790</v>
      </c>
      <c r="K1322">
        <v>15.3</v>
      </c>
      <c r="L1322">
        <v>2.6440000000000001</v>
      </c>
      <c r="M1322" s="1">
        <v>100</v>
      </c>
      <c r="N1322" s="1" t="s">
        <v>2999</v>
      </c>
    </row>
    <row r="1323" spans="1:14" x14ac:dyDescent="0.25">
      <c r="A1323" t="s">
        <v>2715</v>
      </c>
      <c r="B1323" t="s">
        <v>2105</v>
      </c>
      <c r="C1323" t="s">
        <v>3362</v>
      </c>
      <c r="D1323" s="2">
        <v>3.2171015689133102E-2</v>
      </c>
      <c r="E1323" s="3">
        <v>2437089.1393874702</v>
      </c>
      <c r="F1323" s="3">
        <f t="shared" si="13"/>
        <v>406181.52323124505</v>
      </c>
      <c r="G1323" s="3">
        <f t="shared" si="14"/>
        <v>203090.76161562253</v>
      </c>
      <c r="H1323" t="s">
        <v>53</v>
      </c>
      <c r="I1323" t="s">
        <v>2823</v>
      </c>
      <c r="J1323" t="s">
        <v>2824</v>
      </c>
      <c r="K1323">
        <v>14.03</v>
      </c>
      <c r="L1323">
        <v>2.6179999999999999</v>
      </c>
      <c r="M1323" s="1">
        <v>100</v>
      </c>
      <c r="N1323" s="1" t="s">
        <v>2999</v>
      </c>
    </row>
    <row r="1324" spans="1:14" x14ac:dyDescent="0.25">
      <c r="A1324" t="s">
        <v>2731</v>
      </c>
      <c r="B1324" t="s">
        <v>2105</v>
      </c>
      <c r="C1324" t="s">
        <v>3362</v>
      </c>
      <c r="D1324" s="2">
        <v>3.0302142258793199E-2</v>
      </c>
      <c r="E1324" s="3">
        <v>310886.38851900602</v>
      </c>
      <c r="F1324" s="3">
        <f t="shared" ref="F1324:F1355" si="15">E1324/6</f>
        <v>51814.398086501002</v>
      </c>
      <c r="G1324" s="3">
        <f t="shared" si="14"/>
        <v>25907.199043250501</v>
      </c>
      <c r="H1324" t="s">
        <v>56</v>
      </c>
      <c r="I1324" t="s">
        <v>2876</v>
      </c>
      <c r="J1324" t="s">
        <v>2877</v>
      </c>
      <c r="K1324">
        <v>13.39</v>
      </c>
      <c r="L1324">
        <v>2.4820000000000002</v>
      </c>
      <c r="M1324" s="1">
        <v>10</v>
      </c>
      <c r="N1324" s="1" t="s">
        <v>2999</v>
      </c>
    </row>
    <row r="1325" spans="1:14" x14ac:dyDescent="0.25">
      <c r="A1325" t="s">
        <v>1806</v>
      </c>
      <c r="B1325" t="s">
        <v>2105</v>
      </c>
      <c r="C1325" t="s">
        <v>3362</v>
      </c>
      <c r="D1325" s="2">
        <v>4.4303062181782399E-2</v>
      </c>
      <c r="E1325" s="3">
        <v>171948.33145912999</v>
      </c>
      <c r="F1325" s="3">
        <f t="shared" si="15"/>
        <v>28658.05524318833</v>
      </c>
      <c r="G1325" s="3">
        <f t="shared" si="14"/>
        <v>14329.027621594165</v>
      </c>
      <c r="H1325" t="s">
        <v>56</v>
      </c>
      <c r="I1325" t="s">
        <v>508</v>
      </c>
      <c r="J1325" t="s">
        <v>2060</v>
      </c>
      <c r="K1325">
        <v>8.2899999999999991</v>
      </c>
      <c r="L1325">
        <v>2.605</v>
      </c>
      <c r="M1325" s="1" t="s">
        <v>20</v>
      </c>
      <c r="N1325" s="1" t="s">
        <v>2999</v>
      </c>
    </row>
    <row r="1326" spans="1:14" x14ac:dyDescent="0.25">
      <c r="A1326" t="s">
        <v>2747</v>
      </c>
      <c r="B1326" t="s">
        <v>2105</v>
      </c>
      <c r="C1326" t="s">
        <v>3362</v>
      </c>
      <c r="D1326" s="2">
        <v>3.52812181042092E-2</v>
      </c>
      <c r="E1326" s="3">
        <v>1900367.34601157</v>
      </c>
      <c r="F1326" s="3">
        <f t="shared" si="15"/>
        <v>316727.89100192831</v>
      </c>
      <c r="G1326" s="3">
        <f t="shared" si="14"/>
        <v>158363.94550096415</v>
      </c>
      <c r="H1326" t="s">
        <v>1293</v>
      </c>
      <c r="I1326" t="s">
        <v>2925</v>
      </c>
      <c r="J1326" t="s">
        <v>2554</v>
      </c>
      <c r="K1326">
        <v>12.11</v>
      </c>
      <c r="L1326">
        <v>2.613</v>
      </c>
      <c r="M1326" s="1">
        <v>100</v>
      </c>
      <c r="N1326" s="1" t="s">
        <v>2999</v>
      </c>
    </row>
    <row r="1327" spans="1:14" x14ac:dyDescent="0.25">
      <c r="A1327" t="s">
        <v>2700</v>
      </c>
      <c r="B1327" t="s">
        <v>2105</v>
      </c>
      <c r="C1327" t="s">
        <v>3362</v>
      </c>
      <c r="D1327" s="2">
        <v>2.9035814597565102E-2</v>
      </c>
      <c r="E1327" s="3">
        <v>9732755.1392313298</v>
      </c>
      <c r="F1327" s="3">
        <f t="shared" si="15"/>
        <v>1622125.8565385549</v>
      </c>
      <c r="G1327" s="3">
        <f t="shared" si="14"/>
        <v>811062.92826927744</v>
      </c>
      <c r="H1327" t="s">
        <v>62</v>
      </c>
      <c r="I1327" t="s">
        <v>2765</v>
      </c>
      <c r="J1327" t="s">
        <v>2318</v>
      </c>
      <c r="K1327">
        <v>14.66</v>
      </c>
      <c r="L1327">
        <v>2.6579999999999999</v>
      </c>
      <c r="M1327" s="1">
        <v>100</v>
      </c>
      <c r="N1327" s="1" t="s">
        <v>2999</v>
      </c>
    </row>
    <row r="1328" spans="1:14" x14ac:dyDescent="0.25">
      <c r="A1328" t="s">
        <v>2708</v>
      </c>
      <c r="B1328" t="s">
        <v>2105</v>
      </c>
      <c r="C1328" t="s">
        <v>3362</v>
      </c>
      <c r="D1328" s="2">
        <v>3.1820478324519799E-2</v>
      </c>
      <c r="E1328" s="3">
        <v>2514705.26215907</v>
      </c>
      <c r="F1328" s="3">
        <f t="shared" si="15"/>
        <v>419117.54369317833</v>
      </c>
      <c r="G1328" s="3">
        <f t="shared" si="14"/>
        <v>209558.77184658917</v>
      </c>
      <c r="H1328" t="s">
        <v>324</v>
      </c>
      <c r="I1328" t="s">
        <v>2793</v>
      </c>
      <c r="J1328" t="s">
        <v>2794</v>
      </c>
      <c r="K1328">
        <v>12.11</v>
      </c>
      <c r="L1328">
        <v>2.6160000000000001</v>
      </c>
      <c r="M1328" s="1">
        <v>100</v>
      </c>
      <c r="N1328" s="1" t="s">
        <v>2999</v>
      </c>
    </row>
    <row r="1329" spans="1:14" x14ac:dyDescent="0.25">
      <c r="A1329" t="s">
        <v>2716</v>
      </c>
      <c r="B1329" t="s">
        <v>2105</v>
      </c>
      <c r="C1329" t="s">
        <v>3362</v>
      </c>
      <c r="D1329" s="2">
        <v>2.7064220742151701E-2</v>
      </c>
      <c r="E1329" s="3">
        <v>5365644.4653472695</v>
      </c>
      <c r="F1329" s="3">
        <f t="shared" si="15"/>
        <v>894274.07755787822</v>
      </c>
      <c r="G1329" s="3">
        <f t="shared" si="14"/>
        <v>447137.03877893911</v>
      </c>
      <c r="H1329" t="s">
        <v>114</v>
      </c>
      <c r="I1329" t="s">
        <v>1399</v>
      </c>
      <c r="J1329" t="s">
        <v>1322</v>
      </c>
      <c r="K1329">
        <v>12.11</v>
      </c>
      <c r="L1329">
        <v>2.492</v>
      </c>
      <c r="M1329" s="1">
        <v>100</v>
      </c>
      <c r="N1329" s="1" t="s">
        <v>2999</v>
      </c>
    </row>
    <row r="1330" spans="1:14" x14ac:dyDescent="0.25">
      <c r="A1330" t="s">
        <v>2725</v>
      </c>
      <c r="B1330" t="s">
        <v>2105</v>
      </c>
      <c r="C1330" t="s">
        <v>3362</v>
      </c>
      <c r="D1330" s="2">
        <v>2.8366800512045199E-2</v>
      </c>
      <c r="E1330" s="3">
        <v>3908972.7216328899</v>
      </c>
      <c r="F1330" s="3">
        <f t="shared" si="15"/>
        <v>651495.45360548166</v>
      </c>
      <c r="G1330" s="3">
        <f t="shared" si="14"/>
        <v>325747.72680274083</v>
      </c>
      <c r="H1330" t="s">
        <v>198</v>
      </c>
      <c r="I1330" t="s">
        <v>2858</v>
      </c>
      <c r="J1330" t="s">
        <v>2859</v>
      </c>
      <c r="K1330">
        <v>12.11</v>
      </c>
      <c r="L1330">
        <v>2.5630000000000002</v>
      </c>
      <c r="M1330" s="1">
        <v>100</v>
      </c>
      <c r="N1330" s="1" t="s">
        <v>2999</v>
      </c>
    </row>
    <row r="1331" spans="1:14" x14ac:dyDescent="0.25">
      <c r="A1331" t="s">
        <v>2734</v>
      </c>
      <c r="B1331" t="s">
        <v>2105</v>
      </c>
      <c r="C1331" t="s">
        <v>3362</v>
      </c>
      <c r="D1331" s="2">
        <v>2.7221766650803201E-2</v>
      </c>
      <c r="E1331" s="3">
        <v>4953654.9054124802</v>
      </c>
      <c r="F1331" s="3">
        <f t="shared" si="15"/>
        <v>825609.15090208</v>
      </c>
      <c r="G1331" s="3">
        <f t="shared" si="14"/>
        <v>412804.57545104</v>
      </c>
      <c r="H1331" t="s">
        <v>324</v>
      </c>
      <c r="I1331" t="s">
        <v>2888</v>
      </c>
      <c r="J1331" t="s">
        <v>1298</v>
      </c>
      <c r="K1331">
        <v>10.199999999999999</v>
      </c>
      <c r="L1331">
        <v>2.5739999999999998</v>
      </c>
      <c r="M1331" s="1">
        <v>100</v>
      </c>
      <c r="N1331" s="1" t="s">
        <v>2999</v>
      </c>
    </row>
    <row r="1332" spans="1:14" x14ac:dyDescent="0.25">
      <c r="A1332" t="s">
        <v>2741</v>
      </c>
      <c r="B1332" t="s">
        <v>2105</v>
      </c>
      <c r="C1332" t="s">
        <v>3362</v>
      </c>
      <c r="D1332" s="2">
        <v>3.5552316880647097E-2</v>
      </c>
      <c r="E1332" s="3">
        <v>1908925.7406436601</v>
      </c>
      <c r="F1332" s="3">
        <f t="shared" si="15"/>
        <v>318154.2901072767</v>
      </c>
      <c r="G1332" s="3">
        <f t="shared" si="14"/>
        <v>159077.14505363835</v>
      </c>
      <c r="H1332" t="s">
        <v>1103</v>
      </c>
      <c r="I1332" t="s">
        <v>2921</v>
      </c>
      <c r="J1332" t="s">
        <v>2922</v>
      </c>
      <c r="K1332">
        <v>10.84</v>
      </c>
      <c r="L1332">
        <v>2.5329999999999999</v>
      </c>
      <c r="M1332" s="1">
        <v>100</v>
      </c>
      <c r="N1332" s="1" t="s">
        <v>2999</v>
      </c>
    </row>
    <row r="1333" spans="1:14" x14ac:dyDescent="0.25">
      <c r="A1333" t="s">
        <v>1816</v>
      </c>
      <c r="B1333" t="s">
        <v>2105</v>
      </c>
      <c r="C1333" t="s">
        <v>3362</v>
      </c>
      <c r="D1333" s="2">
        <v>2.6833139445626899E-2</v>
      </c>
      <c r="E1333" s="3">
        <v>6725241.8152008997</v>
      </c>
      <c r="F1333" s="3">
        <f t="shared" si="15"/>
        <v>1120873.6358668166</v>
      </c>
      <c r="G1333" s="3">
        <f t="shared" si="14"/>
        <v>560436.81793340831</v>
      </c>
      <c r="H1333" t="s">
        <v>198</v>
      </c>
      <c r="I1333" t="s">
        <v>2951</v>
      </c>
      <c r="J1333" t="s">
        <v>2952</v>
      </c>
      <c r="K1333">
        <v>15.94</v>
      </c>
      <c r="L1333">
        <v>2.593</v>
      </c>
      <c r="M1333" s="1">
        <v>100</v>
      </c>
      <c r="N1333" s="1" t="s">
        <v>2999</v>
      </c>
    </row>
    <row r="1334" spans="1:14" x14ac:dyDescent="0.25">
      <c r="A1334" t="s">
        <v>2755</v>
      </c>
      <c r="B1334" t="s">
        <v>2105</v>
      </c>
      <c r="C1334" t="s">
        <v>3362</v>
      </c>
      <c r="D1334" s="2">
        <v>3.5285220630507E-2</v>
      </c>
      <c r="E1334" s="3">
        <v>1824103.2658881701</v>
      </c>
      <c r="F1334" s="3">
        <f t="shared" si="15"/>
        <v>304017.21098136168</v>
      </c>
      <c r="G1334" s="3">
        <f t="shared" si="14"/>
        <v>152008.60549068084</v>
      </c>
      <c r="H1334" t="s">
        <v>46</v>
      </c>
      <c r="I1334" t="s">
        <v>2978</v>
      </c>
      <c r="J1334" t="s">
        <v>2979</v>
      </c>
      <c r="K1334">
        <v>10.84</v>
      </c>
      <c r="L1334">
        <v>2.7160000000000002</v>
      </c>
      <c r="M1334" s="1">
        <v>100</v>
      </c>
      <c r="N1334" s="1" t="s">
        <v>2999</v>
      </c>
    </row>
    <row r="1335" spans="1:14" x14ac:dyDescent="0.25">
      <c r="A1335" t="s">
        <v>2701</v>
      </c>
      <c r="B1335" t="s">
        <v>2105</v>
      </c>
      <c r="C1335" t="s">
        <v>3362</v>
      </c>
      <c r="D1335" s="2">
        <v>3.5350878469174202E-2</v>
      </c>
      <c r="E1335" s="3">
        <v>1872664.3359302001</v>
      </c>
      <c r="F1335" s="3">
        <f t="shared" si="15"/>
        <v>312110.72265503334</v>
      </c>
      <c r="G1335" s="3">
        <f t="shared" si="14"/>
        <v>156055.36132751667</v>
      </c>
      <c r="H1335" t="s">
        <v>2768</v>
      </c>
      <c r="I1335" t="s">
        <v>2769</v>
      </c>
      <c r="J1335" t="s">
        <v>2770</v>
      </c>
      <c r="K1335">
        <v>14.66</v>
      </c>
      <c r="L1335">
        <v>2.66</v>
      </c>
      <c r="M1335" s="1">
        <v>100</v>
      </c>
      <c r="N1335" s="1" t="s">
        <v>2999</v>
      </c>
    </row>
    <row r="1336" spans="1:14" x14ac:dyDescent="0.25">
      <c r="A1336" t="s">
        <v>2709</v>
      </c>
      <c r="B1336" t="s">
        <v>2105</v>
      </c>
      <c r="C1336" t="s">
        <v>3362</v>
      </c>
      <c r="D1336" s="2">
        <v>2.6790184094131898E-2</v>
      </c>
      <c r="E1336" s="3">
        <v>6240379.0228327503</v>
      </c>
      <c r="F1336" s="3">
        <f t="shared" si="15"/>
        <v>1040063.1704721251</v>
      </c>
      <c r="G1336" s="3">
        <f t="shared" si="14"/>
        <v>520031.58523606253</v>
      </c>
      <c r="H1336" t="s">
        <v>56</v>
      </c>
      <c r="I1336" t="s">
        <v>2797</v>
      </c>
      <c r="J1336" t="s">
        <v>2798</v>
      </c>
      <c r="K1336">
        <v>14.66</v>
      </c>
      <c r="L1336">
        <v>2.5859999999999999</v>
      </c>
      <c r="M1336" s="1">
        <v>100</v>
      </c>
      <c r="N1336" s="1" t="s">
        <v>2999</v>
      </c>
    </row>
    <row r="1337" spans="1:14" x14ac:dyDescent="0.25">
      <c r="A1337" t="s">
        <v>2717</v>
      </c>
      <c r="B1337" t="s">
        <v>2105</v>
      </c>
      <c r="C1337" t="s">
        <v>3362</v>
      </c>
      <c r="D1337" s="2">
        <v>3.2110782276534397E-2</v>
      </c>
      <c r="E1337" s="3">
        <v>2558245.8444793201</v>
      </c>
      <c r="F1337" s="3">
        <f t="shared" si="15"/>
        <v>426374.30741322</v>
      </c>
      <c r="G1337" s="3">
        <f t="shared" si="14"/>
        <v>213187.15370661</v>
      </c>
      <c r="H1337" t="s">
        <v>207</v>
      </c>
      <c r="I1337" t="s">
        <v>2828</v>
      </c>
      <c r="J1337" t="s">
        <v>2829</v>
      </c>
      <c r="K1337">
        <v>13.39</v>
      </c>
      <c r="L1337">
        <v>2.5</v>
      </c>
      <c r="M1337" s="1">
        <v>100</v>
      </c>
      <c r="N1337" s="1" t="s">
        <v>2999</v>
      </c>
    </row>
    <row r="1338" spans="1:14" x14ac:dyDescent="0.25">
      <c r="A1338" t="s">
        <v>2726</v>
      </c>
      <c r="B1338" t="s">
        <v>2105</v>
      </c>
      <c r="C1338" t="s">
        <v>3362</v>
      </c>
      <c r="D1338" s="2">
        <v>2.71437265027854E-2</v>
      </c>
      <c r="E1338" s="3">
        <v>5192207.4832962202</v>
      </c>
      <c r="F1338" s="3">
        <f t="shared" si="15"/>
        <v>865367.9138827034</v>
      </c>
      <c r="G1338" s="3">
        <f t="shared" si="14"/>
        <v>432683.9569413517</v>
      </c>
      <c r="H1338" t="s">
        <v>308</v>
      </c>
      <c r="I1338" t="s">
        <v>102</v>
      </c>
      <c r="J1338" t="s">
        <v>2862</v>
      </c>
      <c r="K1338">
        <v>12.75</v>
      </c>
      <c r="L1338">
        <v>2.504</v>
      </c>
      <c r="M1338" s="1">
        <v>100</v>
      </c>
      <c r="N1338" s="1" t="s">
        <v>2999</v>
      </c>
    </row>
    <row r="1339" spans="1:14" x14ac:dyDescent="0.25">
      <c r="A1339" t="s">
        <v>2735</v>
      </c>
      <c r="B1339" t="s">
        <v>2105</v>
      </c>
      <c r="C1339" t="s">
        <v>3362</v>
      </c>
      <c r="D1339" s="2">
        <v>3.7378230555888403E-2</v>
      </c>
      <c r="E1339" s="3">
        <v>1698756.15823181</v>
      </c>
      <c r="F1339" s="3">
        <f t="shared" si="15"/>
        <v>283126.02637196833</v>
      </c>
      <c r="G1339" s="3">
        <f t="shared" si="14"/>
        <v>141563.01318598416</v>
      </c>
      <c r="H1339" t="s">
        <v>46</v>
      </c>
      <c r="I1339" t="s">
        <v>196</v>
      </c>
      <c r="J1339" t="s">
        <v>2890</v>
      </c>
      <c r="K1339">
        <v>12.75</v>
      </c>
      <c r="L1339">
        <v>2.5049999999999999</v>
      </c>
      <c r="M1339" s="1">
        <v>100</v>
      </c>
      <c r="N1339" s="1" t="s">
        <v>2999</v>
      </c>
    </row>
    <row r="1340" spans="1:14" x14ac:dyDescent="0.25">
      <c r="A1340" t="s">
        <v>1823</v>
      </c>
      <c r="B1340" t="s">
        <v>2105</v>
      </c>
      <c r="C1340" t="s">
        <v>3362</v>
      </c>
      <c r="D1340" s="2">
        <v>3.5285107667466502E-2</v>
      </c>
      <c r="E1340" s="3">
        <v>1979854.7350713899</v>
      </c>
      <c r="F1340" s="3">
        <f t="shared" si="15"/>
        <v>329975.78917856497</v>
      </c>
      <c r="G1340" s="3">
        <f t="shared" si="14"/>
        <v>164987.89458928248</v>
      </c>
      <c r="H1340" t="s">
        <v>195</v>
      </c>
      <c r="I1340" t="s">
        <v>2925</v>
      </c>
      <c r="J1340" t="s">
        <v>2926</v>
      </c>
      <c r="K1340">
        <v>10.84</v>
      </c>
      <c r="L1340">
        <v>2.5219999999999998</v>
      </c>
      <c r="M1340" s="1">
        <v>100</v>
      </c>
      <c r="N1340" s="1" t="s">
        <v>2999</v>
      </c>
    </row>
    <row r="1341" spans="1:14" x14ac:dyDescent="0.25">
      <c r="A1341" t="s">
        <v>2748</v>
      </c>
      <c r="B1341" t="s">
        <v>2105</v>
      </c>
      <c r="C1341" t="s">
        <v>3362</v>
      </c>
      <c r="D1341" s="2">
        <v>2.9668378811710801E-2</v>
      </c>
      <c r="E1341" s="3">
        <v>3196172.7549314499</v>
      </c>
      <c r="F1341" s="3">
        <f t="shared" si="15"/>
        <v>532695.45915524161</v>
      </c>
      <c r="G1341" s="3">
        <f t="shared" si="14"/>
        <v>266347.7295776208</v>
      </c>
      <c r="H1341" t="s">
        <v>124</v>
      </c>
      <c r="I1341" t="s">
        <v>2955</v>
      </c>
      <c r="J1341" t="s">
        <v>2956</v>
      </c>
      <c r="K1341">
        <v>12.11</v>
      </c>
      <c r="L1341">
        <v>2.609</v>
      </c>
      <c r="M1341" s="1">
        <v>100</v>
      </c>
      <c r="N1341" s="1" t="s">
        <v>2999</v>
      </c>
    </row>
    <row r="1342" spans="1:14" x14ac:dyDescent="0.25">
      <c r="A1342" t="s">
        <v>1825</v>
      </c>
      <c r="B1342" t="s">
        <v>2105</v>
      </c>
      <c r="C1342" t="s">
        <v>3362</v>
      </c>
      <c r="D1342" s="2">
        <v>3.12336968357242E-2</v>
      </c>
      <c r="E1342" s="3">
        <v>2654319.5509349401</v>
      </c>
      <c r="F1342" s="3">
        <f t="shared" si="15"/>
        <v>442386.59182249004</v>
      </c>
      <c r="G1342" s="3">
        <f t="shared" si="14"/>
        <v>221193.29591124502</v>
      </c>
      <c r="H1342" t="s">
        <v>17</v>
      </c>
      <c r="I1342" t="s">
        <v>95</v>
      </c>
      <c r="J1342" t="s">
        <v>776</v>
      </c>
      <c r="K1342">
        <v>13.39</v>
      </c>
      <c r="L1342">
        <v>2.6320000000000001</v>
      </c>
      <c r="M1342" s="1">
        <v>100</v>
      </c>
      <c r="N1342" s="1" t="s">
        <v>2999</v>
      </c>
    </row>
    <row r="1343" spans="1:14" x14ac:dyDescent="0.25">
      <c r="A1343" t="s">
        <v>2702</v>
      </c>
      <c r="B1343" t="s">
        <v>2105</v>
      </c>
      <c r="C1343" t="s">
        <v>3362</v>
      </c>
      <c r="D1343" s="2">
        <v>6.1265123548500597E-2</v>
      </c>
      <c r="E1343" s="3">
        <v>516030.14901360602</v>
      </c>
      <c r="F1343" s="3">
        <f t="shared" si="15"/>
        <v>86005.024835600998</v>
      </c>
      <c r="G1343" s="3">
        <f t="shared" si="14"/>
        <v>43002.512417800499</v>
      </c>
      <c r="H1343" t="s">
        <v>136</v>
      </c>
      <c r="I1343" t="s">
        <v>2550</v>
      </c>
      <c r="J1343" t="s">
        <v>2773</v>
      </c>
      <c r="K1343">
        <v>17.21</v>
      </c>
      <c r="L1343">
        <v>2.6219999999999999</v>
      </c>
      <c r="M1343" s="1">
        <v>100</v>
      </c>
      <c r="N1343" s="1" t="s">
        <v>2999</v>
      </c>
    </row>
    <row r="1344" spans="1:14" x14ac:dyDescent="0.25">
      <c r="A1344" t="s">
        <v>1827</v>
      </c>
      <c r="B1344" t="s">
        <v>2105</v>
      </c>
      <c r="C1344" t="s">
        <v>3362</v>
      </c>
      <c r="D1344" s="2">
        <v>2.6860287338048201E-2</v>
      </c>
      <c r="E1344" s="3">
        <v>7052332.2726906603</v>
      </c>
      <c r="F1344" s="3">
        <f t="shared" si="15"/>
        <v>1175388.7121151101</v>
      </c>
      <c r="G1344" s="3">
        <f t="shared" si="14"/>
        <v>587694.35605755507</v>
      </c>
      <c r="H1344" t="s">
        <v>56</v>
      </c>
      <c r="I1344" t="s">
        <v>2801</v>
      </c>
      <c r="J1344" t="s">
        <v>2802</v>
      </c>
      <c r="K1344">
        <v>12.11</v>
      </c>
      <c r="L1344">
        <v>2.5249999999999999</v>
      </c>
      <c r="M1344" s="1">
        <v>100</v>
      </c>
      <c r="N1344" s="1" t="s">
        <v>2999</v>
      </c>
    </row>
    <row r="1345" spans="1:14" x14ac:dyDescent="0.25">
      <c r="A1345" t="s">
        <v>2718</v>
      </c>
      <c r="B1345" t="s">
        <v>2105</v>
      </c>
      <c r="C1345" t="s">
        <v>3362</v>
      </c>
      <c r="D1345" s="2">
        <v>2.94204693195875E-2</v>
      </c>
      <c r="E1345" s="3">
        <v>3412448.0661342698</v>
      </c>
      <c r="F1345" s="3">
        <f t="shared" si="15"/>
        <v>568741.3443557116</v>
      </c>
      <c r="G1345" s="3">
        <f t="shared" si="14"/>
        <v>284370.6721778558</v>
      </c>
      <c r="H1345" t="s">
        <v>893</v>
      </c>
      <c r="I1345" t="s">
        <v>2832</v>
      </c>
      <c r="J1345" t="s">
        <v>2833</v>
      </c>
      <c r="K1345">
        <v>14.66</v>
      </c>
      <c r="L1345">
        <v>2.5219999999999998</v>
      </c>
      <c r="M1345" s="1">
        <v>100</v>
      </c>
      <c r="N1345" s="1" t="s">
        <v>2999</v>
      </c>
    </row>
    <row r="1346" spans="1:14" x14ac:dyDescent="0.25">
      <c r="A1346" t="s">
        <v>2727</v>
      </c>
      <c r="B1346" t="s">
        <v>2105</v>
      </c>
      <c r="C1346" t="s">
        <v>3362</v>
      </c>
      <c r="D1346" s="2">
        <v>2.69159613459652E-2</v>
      </c>
      <c r="E1346" s="3">
        <v>5798654.0597587395</v>
      </c>
      <c r="F1346" s="3">
        <f t="shared" si="15"/>
        <v>966442.3432931233</v>
      </c>
      <c r="G1346" s="3">
        <f t="shared" si="14"/>
        <v>483221.17164656165</v>
      </c>
      <c r="H1346" t="s">
        <v>207</v>
      </c>
      <c r="I1346" t="s">
        <v>842</v>
      </c>
      <c r="J1346" t="s">
        <v>2865</v>
      </c>
      <c r="K1346">
        <v>10.84</v>
      </c>
      <c r="L1346">
        <v>2.468</v>
      </c>
      <c r="M1346" s="1">
        <v>100</v>
      </c>
      <c r="N1346" s="1" t="s">
        <v>2999</v>
      </c>
    </row>
    <row r="1347" spans="1:14" x14ac:dyDescent="0.25">
      <c r="A1347" t="s">
        <v>2736</v>
      </c>
      <c r="B1347" t="s">
        <v>2105</v>
      </c>
      <c r="C1347" t="s">
        <v>3362</v>
      </c>
      <c r="D1347" s="2">
        <v>5.9120191846240198E-2</v>
      </c>
      <c r="E1347" s="3">
        <v>598850.53223330295</v>
      </c>
      <c r="F1347" s="3">
        <f t="shared" si="15"/>
        <v>99808.422038883829</v>
      </c>
      <c r="G1347" s="3">
        <f t="shared" si="14"/>
        <v>49904.211019441915</v>
      </c>
      <c r="H1347" t="s">
        <v>45</v>
      </c>
      <c r="I1347" t="s">
        <v>2893</v>
      </c>
      <c r="J1347" t="s">
        <v>2894</v>
      </c>
      <c r="K1347">
        <v>12.75</v>
      </c>
      <c r="L1347">
        <v>2.4420000000000002</v>
      </c>
      <c r="M1347" s="1">
        <v>100</v>
      </c>
      <c r="N1347" s="1" t="s">
        <v>2999</v>
      </c>
    </row>
    <row r="1348" spans="1:14" x14ac:dyDescent="0.25">
      <c r="A1348" t="s">
        <v>1831</v>
      </c>
      <c r="B1348" t="s">
        <v>2105</v>
      </c>
      <c r="C1348" t="s">
        <v>3362</v>
      </c>
      <c r="D1348" s="2">
        <v>2.6898304182560701E-2</v>
      </c>
      <c r="E1348" s="3">
        <v>5803223.2655447302</v>
      </c>
      <c r="F1348" s="3">
        <f t="shared" si="15"/>
        <v>967203.87759078841</v>
      </c>
      <c r="G1348" s="3">
        <f t="shared" si="14"/>
        <v>483601.93879539421</v>
      </c>
      <c r="H1348" t="s">
        <v>232</v>
      </c>
      <c r="I1348" t="s">
        <v>2820</v>
      </c>
      <c r="J1348" t="s">
        <v>2929</v>
      </c>
      <c r="K1348">
        <v>10.84</v>
      </c>
      <c r="L1348">
        <v>2.488</v>
      </c>
      <c r="M1348" s="1">
        <v>100</v>
      </c>
      <c r="N1348" s="1" t="s">
        <v>2999</v>
      </c>
    </row>
    <row r="1349" spans="1:14" x14ac:dyDescent="0.25">
      <c r="A1349" t="s">
        <v>2749</v>
      </c>
      <c r="B1349" t="s">
        <v>2105</v>
      </c>
      <c r="C1349" t="s">
        <v>3362</v>
      </c>
      <c r="D1349" s="2">
        <v>4.6215906504163497E-2</v>
      </c>
      <c r="E1349" s="3">
        <v>1011158.40295746</v>
      </c>
      <c r="F1349" s="3">
        <f t="shared" si="15"/>
        <v>168526.40049291</v>
      </c>
      <c r="G1349" s="3">
        <f t="shared" si="14"/>
        <v>84263.200246455002</v>
      </c>
      <c r="H1349" t="s">
        <v>570</v>
      </c>
      <c r="I1349" t="s">
        <v>2957</v>
      </c>
      <c r="J1349" t="s">
        <v>2076</v>
      </c>
      <c r="K1349">
        <v>11.48</v>
      </c>
      <c r="L1349">
        <v>2.5169999999999999</v>
      </c>
      <c r="M1349" s="1">
        <v>100</v>
      </c>
      <c r="N1349" s="1" t="s">
        <v>2999</v>
      </c>
    </row>
    <row r="1350" spans="1:14" x14ac:dyDescent="0.25">
      <c r="A1350" t="s">
        <v>1975</v>
      </c>
      <c r="B1350" t="s">
        <v>2105</v>
      </c>
      <c r="C1350" t="s">
        <v>3362</v>
      </c>
      <c r="D1350" s="2">
        <v>5.2301730266328901E-2</v>
      </c>
      <c r="E1350" s="3">
        <v>19092869.810387101</v>
      </c>
      <c r="F1350" s="3">
        <f t="shared" si="15"/>
        <v>3182144.9683978502</v>
      </c>
      <c r="G1350" s="3">
        <f t="shared" si="14"/>
        <v>1591072.4841989251</v>
      </c>
      <c r="H1350" t="s">
        <v>198</v>
      </c>
      <c r="I1350" t="s">
        <v>417</v>
      </c>
      <c r="J1350" t="s">
        <v>2051</v>
      </c>
      <c r="K1350">
        <v>13.39</v>
      </c>
      <c r="L1350">
        <v>2.6349999999999998</v>
      </c>
      <c r="M1350" s="1">
        <v>100</v>
      </c>
      <c r="N1350" s="1" t="s">
        <v>2999</v>
      </c>
    </row>
    <row r="1351" spans="1:14" x14ac:dyDescent="0.25">
      <c r="A1351" t="s">
        <v>1976</v>
      </c>
      <c r="B1351" t="s">
        <v>2105</v>
      </c>
      <c r="C1351" t="s">
        <v>3362</v>
      </c>
      <c r="D1351" s="2">
        <v>7.3737656671986604E-2</v>
      </c>
      <c r="E1351" s="3">
        <v>359760.99348631297</v>
      </c>
      <c r="F1351" s="3">
        <f t="shared" si="15"/>
        <v>59960.165581052162</v>
      </c>
      <c r="G1351" s="3">
        <f t="shared" ref="G1351:G1373" si="16">F1351/2</f>
        <v>29980.082790526081</v>
      </c>
      <c r="H1351" t="s">
        <v>76</v>
      </c>
      <c r="I1351" t="s">
        <v>1129</v>
      </c>
      <c r="J1351" t="s">
        <v>2805</v>
      </c>
      <c r="K1351">
        <v>12.11</v>
      </c>
      <c r="L1351">
        <v>2.5379999999999998</v>
      </c>
      <c r="M1351" s="1">
        <v>100</v>
      </c>
      <c r="N1351" s="1" t="s">
        <v>2999</v>
      </c>
    </row>
    <row r="1352" spans="1:14" x14ac:dyDescent="0.25">
      <c r="A1352" t="s">
        <v>2719</v>
      </c>
      <c r="B1352" t="s">
        <v>2105</v>
      </c>
      <c r="C1352" t="s">
        <v>3362</v>
      </c>
      <c r="D1352" s="2">
        <v>2.79058669861602E-2</v>
      </c>
      <c r="E1352" s="3">
        <v>4398781.6585871</v>
      </c>
      <c r="F1352" s="3">
        <f t="shared" si="15"/>
        <v>733130.27643118333</v>
      </c>
      <c r="G1352" s="3">
        <f t="shared" si="16"/>
        <v>366565.13821559167</v>
      </c>
      <c r="H1352" t="s">
        <v>284</v>
      </c>
      <c r="I1352" t="s">
        <v>2835</v>
      </c>
      <c r="J1352" t="s">
        <v>2836</v>
      </c>
      <c r="K1352">
        <v>13.39</v>
      </c>
      <c r="L1352">
        <v>2.4740000000000002</v>
      </c>
      <c r="M1352" s="1">
        <v>100</v>
      </c>
      <c r="N1352" s="1" t="s">
        <v>2999</v>
      </c>
    </row>
    <row r="1353" spans="1:14" x14ac:dyDescent="0.25">
      <c r="A1353" t="s">
        <v>2728</v>
      </c>
      <c r="B1353" t="s">
        <v>2105</v>
      </c>
      <c r="C1353" t="s">
        <v>3362</v>
      </c>
      <c r="D1353" s="2">
        <v>4.06752834765352E-2</v>
      </c>
      <c r="E1353" s="3">
        <v>1395937.45955377</v>
      </c>
      <c r="F1353" s="3">
        <f t="shared" si="15"/>
        <v>232656.24325896168</v>
      </c>
      <c r="G1353" s="3">
        <f t="shared" si="16"/>
        <v>116328.12162948084</v>
      </c>
      <c r="H1353" t="s">
        <v>192</v>
      </c>
      <c r="I1353" t="s">
        <v>2868</v>
      </c>
      <c r="J1353" t="s">
        <v>2869</v>
      </c>
      <c r="K1353">
        <v>10.84</v>
      </c>
      <c r="L1353">
        <v>2.4540000000000002</v>
      </c>
      <c r="M1353" s="1">
        <v>100</v>
      </c>
      <c r="N1353" s="1" t="s">
        <v>2999</v>
      </c>
    </row>
    <row r="1354" spans="1:14" x14ac:dyDescent="0.25">
      <c r="A1354" t="s">
        <v>2737</v>
      </c>
      <c r="B1354" t="s">
        <v>2105</v>
      </c>
      <c r="C1354" t="s">
        <v>3362</v>
      </c>
      <c r="D1354" s="2">
        <v>2.8021668471501601E-2</v>
      </c>
      <c r="E1354" s="3">
        <v>4401166.1185357496</v>
      </c>
      <c r="F1354" s="3">
        <f t="shared" si="15"/>
        <v>733527.68642262497</v>
      </c>
      <c r="G1354" s="3">
        <f t="shared" si="16"/>
        <v>366763.84321131249</v>
      </c>
      <c r="H1354" t="s">
        <v>308</v>
      </c>
      <c r="I1354" t="s">
        <v>2897</v>
      </c>
      <c r="J1354" t="s">
        <v>2898</v>
      </c>
      <c r="K1354">
        <v>10.84</v>
      </c>
      <c r="L1354">
        <v>2.4119999999999999</v>
      </c>
      <c r="M1354" s="1">
        <v>100</v>
      </c>
      <c r="N1354" s="1" t="s">
        <v>2999</v>
      </c>
    </row>
    <row r="1355" spans="1:14" x14ac:dyDescent="0.25">
      <c r="A1355" t="s">
        <v>2742</v>
      </c>
      <c r="B1355" t="s">
        <v>2105</v>
      </c>
      <c r="C1355" t="s">
        <v>3362</v>
      </c>
      <c r="D1355" s="2">
        <v>3.5267299002294299E-2</v>
      </c>
      <c r="E1355" s="3">
        <v>2005003.7639136401</v>
      </c>
      <c r="F1355" s="3">
        <f t="shared" si="15"/>
        <v>334167.2939856067</v>
      </c>
      <c r="G1355" s="3">
        <f t="shared" si="16"/>
        <v>167083.64699280335</v>
      </c>
      <c r="H1355" t="s">
        <v>622</v>
      </c>
      <c r="I1355" t="s">
        <v>2931</v>
      </c>
      <c r="J1355" t="s">
        <v>2932</v>
      </c>
      <c r="K1355">
        <v>12.75</v>
      </c>
      <c r="L1355">
        <v>2.4670000000000001</v>
      </c>
      <c r="M1355" s="1">
        <v>100</v>
      </c>
      <c r="N1355" s="1" t="s">
        <v>2999</v>
      </c>
    </row>
    <row r="1356" spans="1:14" x14ac:dyDescent="0.25">
      <c r="A1356" t="s">
        <v>1982</v>
      </c>
      <c r="B1356" t="s">
        <v>2105</v>
      </c>
      <c r="C1356" t="s">
        <v>3362</v>
      </c>
      <c r="D1356" s="2">
        <v>5.1837644196764301E-2</v>
      </c>
      <c r="E1356" s="3">
        <v>767148.56444319303</v>
      </c>
      <c r="F1356" s="3">
        <f t="shared" ref="F1356:F1373" si="17">E1356/6</f>
        <v>127858.0940738655</v>
      </c>
      <c r="G1356" s="3">
        <f t="shared" si="16"/>
        <v>63929.047036932752</v>
      </c>
      <c r="H1356" t="s">
        <v>347</v>
      </c>
      <c r="I1356" t="s">
        <v>2958</v>
      </c>
      <c r="J1356" t="s">
        <v>343</v>
      </c>
      <c r="K1356">
        <v>11.48</v>
      </c>
      <c r="L1356">
        <v>2.5379999999999998</v>
      </c>
      <c r="M1356" s="1">
        <v>100</v>
      </c>
      <c r="N1356" s="1" t="s">
        <v>2999</v>
      </c>
    </row>
    <row r="1357" spans="1:14" x14ac:dyDescent="0.25">
      <c r="A1357" t="s">
        <v>1983</v>
      </c>
      <c r="B1357" t="s">
        <v>2105</v>
      </c>
      <c r="C1357" t="s">
        <v>3362</v>
      </c>
      <c r="D1357" s="2">
        <v>3.3793230774624698E-2</v>
      </c>
      <c r="E1357" s="3">
        <v>2110862.4930346301</v>
      </c>
      <c r="F1357" s="3">
        <f t="shared" si="17"/>
        <v>351810.4155057717</v>
      </c>
      <c r="G1357" s="3">
        <f t="shared" si="16"/>
        <v>175905.20775288585</v>
      </c>
      <c r="H1357" t="s">
        <v>130</v>
      </c>
      <c r="I1357" t="s">
        <v>2983</v>
      </c>
      <c r="J1357" t="s">
        <v>2984</v>
      </c>
      <c r="K1357">
        <v>13.39</v>
      </c>
      <c r="L1357">
        <v>2.61</v>
      </c>
      <c r="M1357" s="1">
        <v>100</v>
      </c>
      <c r="N1357" s="1" t="s">
        <v>2999</v>
      </c>
    </row>
    <row r="1358" spans="1:14" x14ac:dyDescent="0.25">
      <c r="A1358" t="s">
        <v>2703</v>
      </c>
      <c r="B1358" t="s">
        <v>2105</v>
      </c>
      <c r="C1358" t="s">
        <v>3362</v>
      </c>
      <c r="D1358" s="2">
        <v>2.77686607463246E-2</v>
      </c>
      <c r="E1358" s="3">
        <v>4306939.4423228502</v>
      </c>
      <c r="F1358" s="3">
        <f t="shared" si="17"/>
        <v>717823.2403871417</v>
      </c>
      <c r="G1358" s="3">
        <f t="shared" si="16"/>
        <v>358911.62019357085</v>
      </c>
      <c r="H1358" t="s">
        <v>124</v>
      </c>
      <c r="I1358" t="s">
        <v>1009</v>
      </c>
      <c r="J1358" t="s">
        <v>2064</v>
      </c>
      <c r="K1358">
        <v>13.39</v>
      </c>
      <c r="L1358">
        <v>2.5979999999999999</v>
      </c>
      <c r="M1358" s="1">
        <v>100</v>
      </c>
      <c r="N1358" s="1" t="s">
        <v>2999</v>
      </c>
    </row>
    <row r="1359" spans="1:14" x14ac:dyDescent="0.25">
      <c r="A1359" t="s">
        <v>2710</v>
      </c>
      <c r="B1359" t="s">
        <v>2105</v>
      </c>
      <c r="C1359" t="s">
        <v>3362</v>
      </c>
      <c r="D1359" s="2">
        <v>2.67942009860513E-2</v>
      </c>
      <c r="E1359" s="3">
        <v>6606673.3104834296</v>
      </c>
      <c r="F1359" s="3">
        <f t="shared" si="17"/>
        <v>1101112.218413905</v>
      </c>
      <c r="G1359" s="3">
        <f t="shared" si="16"/>
        <v>550556.1092069525</v>
      </c>
      <c r="H1359" t="s">
        <v>56</v>
      </c>
      <c r="I1359" t="s">
        <v>2808</v>
      </c>
      <c r="J1359" t="s">
        <v>2809</v>
      </c>
      <c r="K1359">
        <v>12.11</v>
      </c>
      <c r="L1359">
        <v>2.516</v>
      </c>
      <c r="M1359" s="1">
        <v>100</v>
      </c>
      <c r="N1359" s="1" t="s">
        <v>2999</v>
      </c>
    </row>
    <row r="1360" spans="1:14" x14ac:dyDescent="0.25">
      <c r="A1360" t="s">
        <v>1986</v>
      </c>
      <c r="B1360" t="s">
        <v>2105</v>
      </c>
      <c r="C1360" t="s">
        <v>3362</v>
      </c>
      <c r="D1360" s="2">
        <v>2.8504590344857798E-2</v>
      </c>
      <c r="E1360" s="3">
        <v>10113703.4614626</v>
      </c>
      <c r="F1360" s="3">
        <f t="shared" si="17"/>
        <v>1685617.2435771001</v>
      </c>
      <c r="G1360" s="3">
        <f t="shared" si="16"/>
        <v>842808.62178855005</v>
      </c>
      <c r="H1360" t="s">
        <v>207</v>
      </c>
      <c r="I1360" t="s">
        <v>2838</v>
      </c>
      <c r="J1360" t="s">
        <v>943</v>
      </c>
      <c r="K1360">
        <v>12.11</v>
      </c>
      <c r="L1360">
        <v>2.4319999999999999</v>
      </c>
      <c r="M1360" s="1">
        <v>100</v>
      </c>
      <c r="N1360" s="1" t="s">
        <v>2999</v>
      </c>
    </row>
    <row r="1361" spans="1:14" x14ac:dyDescent="0.25">
      <c r="A1361" t="s">
        <v>2729</v>
      </c>
      <c r="B1361" t="s">
        <v>2105</v>
      </c>
      <c r="C1361" t="s">
        <v>3362</v>
      </c>
      <c r="D1361" s="2">
        <v>2.8463534077235599E-2</v>
      </c>
      <c r="E1361" s="3">
        <v>4057197.0272685802</v>
      </c>
      <c r="F1361" s="3">
        <f t="shared" si="17"/>
        <v>676199.50454476336</v>
      </c>
      <c r="G1361" s="3">
        <f t="shared" si="16"/>
        <v>338099.75227238168</v>
      </c>
      <c r="H1361" t="s">
        <v>324</v>
      </c>
      <c r="I1361" t="s">
        <v>2871</v>
      </c>
      <c r="J1361" t="s">
        <v>1065</v>
      </c>
      <c r="K1361">
        <v>9.56</v>
      </c>
      <c r="L1361">
        <v>2.4329999999999998</v>
      </c>
      <c r="M1361" s="1">
        <v>100</v>
      </c>
      <c r="N1361" s="1" t="s">
        <v>2999</v>
      </c>
    </row>
    <row r="1362" spans="1:14" x14ac:dyDescent="0.25">
      <c r="A1362" t="s">
        <v>1988</v>
      </c>
      <c r="B1362" t="s">
        <v>2105</v>
      </c>
      <c r="C1362" t="s">
        <v>3362</v>
      </c>
      <c r="D1362" s="2">
        <v>3.5998496789050399E-2</v>
      </c>
      <c r="E1362" s="3">
        <v>1941616.1595476801</v>
      </c>
      <c r="F1362" s="3">
        <f t="shared" si="17"/>
        <v>323602.6932579467</v>
      </c>
      <c r="G1362" s="3">
        <f t="shared" si="16"/>
        <v>161801.34662897335</v>
      </c>
      <c r="H1362" t="s">
        <v>988</v>
      </c>
      <c r="I1362" t="s">
        <v>388</v>
      </c>
      <c r="J1362" t="s">
        <v>2900</v>
      </c>
      <c r="K1362">
        <v>13.39</v>
      </c>
      <c r="L1362">
        <v>2.4300000000000002</v>
      </c>
      <c r="M1362" s="1">
        <v>100</v>
      </c>
      <c r="N1362" s="1" t="s">
        <v>2999</v>
      </c>
    </row>
    <row r="1363" spans="1:14" x14ac:dyDescent="0.25">
      <c r="A1363" t="s">
        <v>1989</v>
      </c>
      <c r="B1363" t="s">
        <v>2105</v>
      </c>
      <c r="C1363" t="s">
        <v>3362</v>
      </c>
      <c r="D1363" s="2">
        <v>2.80753632624543E-2</v>
      </c>
      <c r="E1363" s="3">
        <v>4279662.0041041896</v>
      </c>
      <c r="F1363" s="3">
        <f t="shared" si="17"/>
        <v>713277.00068403163</v>
      </c>
      <c r="G1363" s="3">
        <f t="shared" si="16"/>
        <v>356638.50034201582</v>
      </c>
      <c r="H1363" t="s">
        <v>114</v>
      </c>
      <c r="I1363" t="s">
        <v>2933</v>
      </c>
      <c r="J1363" t="s">
        <v>2934</v>
      </c>
      <c r="K1363">
        <v>12.11</v>
      </c>
      <c r="L1363">
        <v>2.4580000000000002</v>
      </c>
      <c r="M1363" s="1">
        <v>100</v>
      </c>
      <c r="N1363" s="1" t="s">
        <v>2999</v>
      </c>
    </row>
    <row r="1364" spans="1:14" x14ac:dyDescent="0.25">
      <c r="A1364" t="s">
        <v>1991</v>
      </c>
      <c r="B1364" t="s">
        <v>2105</v>
      </c>
      <c r="C1364" t="s">
        <v>3362</v>
      </c>
      <c r="D1364" s="2">
        <v>2.6940940014865598E-2</v>
      </c>
      <c r="E1364" s="3">
        <v>7431628.7771743899</v>
      </c>
      <c r="F1364" s="3">
        <f t="shared" si="17"/>
        <v>1238604.7961957317</v>
      </c>
      <c r="G1364" s="3">
        <f t="shared" si="16"/>
        <v>619302.39809786587</v>
      </c>
      <c r="H1364" t="s">
        <v>98</v>
      </c>
      <c r="I1364" t="s">
        <v>2960</v>
      </c>
      <c r="J1364" t="s">
        <v>2961</v>
      </c>
      <c r="K1364">
        <v>12.11</v>
      </c>
      <c r="L1364">
        <v>2.5009999999999999</v>
      </c>
      <c r="M1364" s="1">
        <v>100</v>
      </c>
      <c r="N1364" s="1" t="s">
        <v>2999</v>
      </c>
    </row>
    <row r="1365" spans="1:14" x14ac:dyDescent="0.25">
      <c r="A1365" t="s">
        <v>1992</v>
      </c>
      <c r="B1365" t="s">
        <v>2105</v>
      </c>
      <c r="C1365" t="s">
        <v>3362</v>
      </c>
      <c r="D1365" s="2">
        <v>3.0625596383714E-2</v>
      </c>
      <c r="E1365" s="3">
        <v>2857401.71776269</v>
      </c>
      <c r="F1365" s="3">
        <f t="shared" si="17"/>
        <v>476233.61962711503</v>
      </c>
      <c r="G1365" s="3">
        <f t="shared" si="16"/>
        <v>238116.80981355751</v>
      </c>
      <c r="H1365" t="s">
        <v>88</v>
      </c>
      <c r="I1365" t="s">
        <v>2986</v>
      </c>
      <c r="J1365" t="s">
        <v>2987</v>
      </c>
      <c r="K1365">
        <v>10.84</v>
      </c>
      <c r="L1365">
        <v>2.6139999999999999</v>
      </c>
      <c r="M1365" s="1">
        <v>100</v>
      </c>
      <c r="N1365" s="1" t="s">
        <v>2999</v>
      </c>
    </row>
    <row r="1366" spans="1:14" x14ac:dyDescent="0.25">
      <c r="A1366" t="s">
        <v>2704</v>
      </c>
      <c r="B1366" t="s">
        <v>2105</v>
      </c>
      <c r="C1366" t="s">
        <v>3362</v>
      </c>
      <c r="D1366" s="2">
        <v>2.6947938239826798E-2</v>
      </c>
      <c r="E1366" s="3">
        <v>5325670.0656516198</v>
      </c>
      <c r="F1366" s="3">
        <f t="shared" si="17"/>
        <v>887611.67760860326</v>
      </c>
      <c r="G1366" s="3">
        <f t="shared" si="16"/>
        <v>443805.83880430163</v>
      </c>
      <c r="H1366" t="s">
        <v>114</v>
      </c>
      <c r="I1366" t="s">
        <v>2414</v>
      </c>
      <c r="J1366" t="s">
        <v>715</v>
      </c>
      <c r="K1366">
        <v>14.66</v>
      </c>
      <c r="L1366">
        <v>2.6320000000000001</v>
      </c>
      <c r="M1366" s="1">
        <v>100</v>
      </c>
      <c r="N1366" s="1" t="s">
        <v>2999</v>
      </c>
    </row>
    <row r="1367" spans="1:14" x14ac:dyDescent="0.25">
      <c r="A1367" t="s">
        <v>1994</v>
      </c>
      <c r="B1367" t="s">
        <v>2105</v>
      </c>
      <c r="C1367" t="s">
        <v>3362</v>
      </c>
      <c r="D1367" s="2">
        <v>2.9086340482197999E-2</v>
      </c>
      <c r="E1367" s="3">
        <v>3493943.6973500699</v>
      </c>
      <c r="F1367" s="3">
        <f t="shared" si="17"/>
        <v>582323.94955834502</v>
      </c>
      <c r="G1367" s="3">
        <f t="shared" si="16"/>
        <v>291161.97477917251</v>
      </c>
      <c r="H1367" t="s">
        <v>227</v>
      </c>
      <c r="I1367" t="s">
        <v>2811</v>
      </c>
      <c r="J1367" t="s">
        <v>2812</v>
      </c>
      <c r="K1367">
        <v>13.39</v>
      </c>
      <c r="L1367">
        <v>2.5659999999999998</v>
      </c>
      <c r="M1367" s="1">
        <v>100</v>
      </c>
      <c r="N1367" s="1" t="s">
        <v>2999</v>
      </c>
    </row>
    <row r="1368" spans="1:14" x14ac:dyDescent="0.25">
      <c r="A1368" t="s">
        <v>2720</v>
      </c>
      <c r="B1368" t="s">
        <v>2105</v>
      </c>
      <c r="C1368" t="s">
        <v>3362</v>
      </c>
      <c r="D1368" s="2">
        <v>4.1028359303020401E-2</v>
      </c>
      <c r="E1368" s="3">
        <v>1362335.32960912</v>
      </c>
      <c r="F1368" s="3">
        <f t="shared" si="17"/>
        <v>227055.88826818668</v>
      </c>
      <c r="G1368" s="3">
        <f t="shared" si="16"/>
        <v>113527.94413409334</v>
      </c>
      <c r="H1368" t="s">
        <v>259</v>
      </c>
      <c r="I1368" t="s">
        <v>2840</v>
      </c>
      <c r="J1368" t="s">
        <v>2323</v>
      </c>
      <c r="K1368">
        <v>12.11</v>
      </c>
      <c r="L1368">
        <v>2.4660000000000002</v>
      </c>
      <c r="M1368" s="1">
        <v>100</v>
      </c>
      <c r="N1368" s="1" t="s">
        <v>2999</v>
      </c>
    </row>
    <row r="1369" spans="1:14" x14ac:dyDescent="0.25">
      <c r="A1369" t="s">
        <v>2730</v>
      </c>
      <c r="B1369" t="s">
        <v>2105</v>
      </c>
      <c r="C1369" t="s">
        <v>3362</v>
      </c>
      <c r="D1369" s="2">
        <v>2.8164093819237301E-2</v>
      </c>
      <c r="E1369" s="3">
        <v>4169430.2709825998</v>
      </c>
      <c r="F1369" s="3">
        <f t="shared" si="17"/>
        <v>694905.0451637666</v>
      </c>
      <c r="G1369" s="3">
        <f t="shared" si="16"/>
        <v>347452.5225818833</v>
      </c>
      <c r="H1369" t="s">
        <v>297</v>
      </c>
      <c r="I1369" t="s">
        <v>113</v>
      </c>
      <c r="J1369" t="s">
        <v>2502</v>
      </c>
      <c r="K1369">
        <v>12.11</v>
      </c>
      <c r="L1369">
        <v>2.4830000000000001</v>
      </c>
      <c r="M1369" s="1">
        <v>100</v>
      </c>
      <c r="N1369" s="1" t="s">
        <v>2999</v>
      </c>
    </row>
    <row r="1370" spans="1:14" x14ac:dyDescent="0.25">
      <c r="A1370" t="s">
        <v>2738</v>
      </c>
      <c r="B1370" t="s">
        <v>2105</v>
      </c>
      <c r="C1370" t="s">
        <v>3362</v>
      </c>
      <c r="D1370" s="2">
        <v>3.01997681557989E-2</v>
      </c>
      <c r="E1370" s="3">
        <v>3189630.22380077</v>
      </c>
      <c r="F1370" s="3">
        <f t="shared" si="17"/>
        <v>531605.03730012837</v>
      </c>
      <c r="G1370" s="3">
        <f t="shared" si="16"/>
        <v>265802.51865006419</v>
      </c>
      <c r="H1370" t="s">
        <v>232</v>
      </c>
      <c r="I1370" t="s">
        <v>1561</v>
      </c>
      <c r="J1370" t="s">
        <v>2828</v>
      </c>
      <c r="K1370">
        <v>14.66</v>
      </c>
      <c r="L1370">
        <v>2.4489999999999998</v>
      </c>
      <c r="M1370" s="1">
        <v>100</v>
      </c>
      <c r="N1370" s="1" t="s">
        <v>2999</v>
      </c>
    </row>
    <row r="1371" spans="1:14" x14ac:dyDescent="0.25">
      <c r="A1371" t="s">
        <v>2743</v>
      </c>
      <c r="B1371" t="s">
        <v>2105</v>
      </c>
      <c r="C1371" t="s">
        <v>3362</v>
      </c>
      <c r="D1371" s="2">
        <v>3.2534680249388298E-2</v>
      </c>
      <c r="E1371" s="3">
        <v>2494702.2950697602</v>
      </c>
      <c r="F1371" s="3">
        <f t="shared" si="17"/>
        <v>415783.71584496001</v>
      </c>
      <c r="G1371" s="3">
        <f t="shared" si="16"/>
        <v>207891.85792248001</v>
      </c>
      <c r="H1371" t="s">
        <v>207</v>
      </c>
      <c r="I1371" t="s">
        <v>2937</v>
      </c>
      <c r="J1371" t="s">
        <v>2938</v>
      </c>
      <c r="K1371">
        <v>10.84</v>
      </c>
      <c r="L1371">
        <v>2.464</v>
      </c>
      <c r="M1371" s="1">
        <v>100</v>
      </c>
      <c r="N1371" s="1" t="s">
        <v>2999</v>
      </c>
    </row>
    <row r="1372" spans="1:14" x14ac:dyDescent="0.25">
      <c r="A1372" t="s">
        <v>2750</v>
      </c>
      <c r="B1372" t="s">
        <v>2105</v>
      </c>
      <c r="C1372" t="s">
        <v>3362</v>
      </c>
      <c r="D1372" s="2">
        <v>3.1091466064258801E-2</v>
      </c>
      <c r="E1372" s="3">
        <v>2815953.7598033198</v>
      </c>
      <c r="F1372" s="3">
        <f t="shared" si="17"/>
        <v>469325.62663388666</v>
      </c>
      <c r="G1372" s="3">
        <f t="shared" si="16"/>
        <v>234662.81331694333</v>
      </c>
      <c r="H1372" t="s">
        <v>324</v>
      </c>
      <c r="I1372" t="s">
        <v>2964</v>
      </c>
      <c r="J1372" t="s">
        <v>2965</v>
      </c>
      <c r="K1372">
        <v>12.11</v>
      </c>
      <c r="L1372">
        <v>2.5150000000000001</v>
      </c>
      <c r="M1372" s="1">
        <v>100</v>
      </c>
      <c r="N1372" s="1" t="s">
        <v>2999</v>
      </c>
    </row>
    <row r="1373" spans="1:14" x14ac:dyDescent="0.25">
      <c r="A1373" t="s">
        <v>2000</v>
      </c>
      <c r="B1373" t="s">
        <v>2105</v>
      </c>
      <c r="C1373" t="s">
        <v>3362</v>
      </c>
      <c r="D1373" s="2">
        <v>3.0213546918451201E-2</v>
      </c>
      <c r="E1373" s="3">
        <v>10785020.5319799</v>
      </c>
      <c r="F1373" s="3">
        <f t="shared" si="17"/>
        <v>1797503.4219966501</v>
      </c>
      <c r="G1373" s="3">
        <f t="shared" si="16"/>
        <v>898751.71099832503</v>
      </c>
      <c r="H1373" t="s">
        <v>82</v>
      </c>
      <c r="I1373" t="s">
        <v>2989</v>
      </c>
      <c r="J1373" t="s">
        <v>2990</v>
      </c>
      <c r="K1373">
        <v>12.11</v>
      </c>
      <c r="L1373">
        <v>2.6269999999999998</v>
      </c>
      <c r="M1373" s="1">
        <v>100</v>
      </c>
      <c r="N1373" s="1" t="s">
        <v>2999</v>
      </c>
    </row>
    <row r="1374" spans="1:14" x14ac:dyDescent="0.25">
      <c r="A1374" t="s">
        <v>1609</v>
      </c>
      <c r="B1374" t="s">
        <v>2104</v>
      </c>
      <c r="C1374" t="s">
        <v>2103</v>
      </c>
      <c r="D1374" s="2" t="s">
        <v>20</v>
      </c>
      <c r="E1374" s="3">
        <v>0</v>
      </c>
      <c r="H1374" t="s">
        <v>207</v>
      </c>
      <c r="I1374" t="s">
        <v>201</v>
      </c>
      <c r="J1374" t="s">
        <v>207</v>
      </c>
      <c r="K1374">
        <v>11.73</v>
      </c>
      <c r="L1374">
        <v>2.5289999999999999</v>
      </c>
      <c r="M1374" s="1" t="s">
        <v>20</v>
      </c>
      <c r="N1374" s="1" t="s">
        <v>3000</v>
      </c>
    </row>
    <row r="1375" spans="1:14" x14ac:dyDescent="0.25">
      <c r="A1375" t="s">
        <v>2102</v>
      </c>
      <c r="B1375" t="s">
        <v>2104</v>
      </c>
      <c r="C1375" t="s">
        <v>2103</v>
      </c>
      <c r="D1375" s="2" t="s">
        <v>20</v>
      </c>
      <c r="E1375" s="3">
        <v>0</v>
      </c>
      <c r="H1375" t="s">
        <v>71</v>
      </c>
      <c r="I1375" t="s">
        <v>201</v>
      </c>
      <c r="J1375" t="s">
        <v>71</v>
      </c>
      <c r="K1375">
        <v>10.46</v>
      </c>
      <c r="L1375">
        <v>2.5920000000000001</v>
      </c>
      <c r="M1375" s="1" t="s">
        <v>20</v>
      </c>
      <c r="N1375" s="1" t="s">
        <v>3000</v>
      </c>
    </row>
    <row r="1376" spans="1:14" x14ac:dyDescent="0.25">
      <c r="A1376" t="s">
        <v>3361</v>
      </c>
      <c r="B1376" t="s">
        <v>2104</v>
      </c>
      <c r="C1376" t="s">
        <v>2103</v>
      </c>
      <c r="D1376" s="2">
        <v>6.5010360576641904E-2</v>
      </c>
      <c r="E1376" s="3">
        <v>4583989.7087805998</v>
      </c>
      <c r="H1376" t="s">
        <v>82</v>
      </c>
      <c r="I1376" t="s">
        <v>655</v>
      </c>
      <c r="J1376" t="s">
        <v>3260</v>
      </c>
      <c r="K1376">
        <v>15.94</v>
      </c>
      <c r="L1376">
        <v>2.6019999999999999</v>
      </c>
      <c r="M1376" s="1">
        <v>1000</v>
      </c>
      <c r="N1376" s="1" t="s">
        <v>3000</v>
      </c>
    </row>
    <row r="1377" spans="1:14" x14ac:dyDescent="0.25">
      <c r="A1377" t="s">
        <v>3357</v>
      </c>
      <c r="B1377" t="s">
        <v>2104</v>
      </c>
      <c r="C1377" t="s">
        <v>2103</v>
      </c>
      <c r="D1377" s="2">
        <v>4.7839013838213103E-2</v>
      </c>
      <c r="E1377" s="3">
        <v>9011633.4115481898</v>
      </c>
      <c r="H1377" t="s">
        <v>280</v>
      </c>
      <c r="I1377" t="s">
        <v>3191</v>
      </c>
      <c r="J1377" t="s">
        <v>3192</v>
      </c>
      <c r="K1377">
        <v>19.760000000000002</v>
      </c>
      <c r="L1377">
        <v>2.5910000000000002</v>
      </c>
      <c r="M1377" s="1">
        <v>1000</v>
      </c>
      <c r="N1377" s="1" t="s">
        <v>3000</v>
      </c>
    </row>
    <row r="1378" spans="1:14" x14ac:dyDescent="0.25">
      <c r="A1378" t="s">
        <v>3356</v>
      </c>
      <c r="B1378" t="s">
        <v>2104</v>
      </c>
      <c r="C1378" t="s">
        <v>2103</v>
      </c>
      <c r="D1378" s="2" t="s">
        <v>20</v>
      </c>
      <c r="E1378" s="3">
        <v>0</v>
      </c>
      <c r="H1378" t="s">
        <v>347</v>
      </c>
      <c r="I1378" t="s">
        <v>201</v>
      </c>
      <c r="J1378" t="s">
        <v>347</v>
      </c>
      <c r="K1378">
        <v>13.01</v>
      </c>
      <c r="L1378">
        <v>2.5960000000000001</v>
      </c>
      <c r="M1378" s="1">
        <v>1000</v>
      </c>
      <c r="N1378" s="1" t="s">
        <v>3000</v>
      </c>
    </row>
    <row r="1379" spans="1:14" x14ac:dyDescent="0.25">
      <c r="A1379" t="s">
        <v>10</v>
      </c>
      <c r="B1379" t="s">
        <v>2104</v>
      </c>
      <c r="C1379" t="s">
        <v>2103</v>
      </c>
      <c r="D1379" s="2" t="s">
        <v>20</v>
      </c>
      <c r="E1379" s="3" t="s">
        <v>20</v>
      </c>
      <c r="H1379" t="s">
        <v>91</v>
      </c>
      <c r="I1379" t="s">
        <v>201</v>
      </c>
      <c r="J1379" t="s">
        <v>91</v>
      </c>
      <c r="K1379">
        <v>11.73</v>
      </c>
      <c r="L1379">
        <v>2.645</v>
      </c>
      <c r="M1379" s="1" t="s">
        <v>20</v>
      </c>
      <c r="N1379" s="1" t="s">
        <v>3000</v>
      </c>
    </row>
    <row r="1380" spans="1:14" x14ac:dyDescent="0.25">
      <c r="A1380" t="s">
        <v>3001</v>
      </c>
      <c r="B1380" t="s">
        <v>2104</v>
      </c>
      <c r="C1380" t="s">
        <v>2103</v>
      </c>
      <c r="D1380" s="2">
        <v>2.7151893803749699E-2</v>
      </c>
      <c r="E1380" s="3">
        <v>4922236.30342618</v>
      </c>
      <c r="H1380" t="s">
        <v>76</v>
      </c>
      <c r="I1380" t="s">
        <v>528</v>
      </c>
      <c r="J1380" t="s">
        <v>3086</v>
      </c>
      <c r="K1380">
        <v>14.03</v>
      </c>
      <c r="L1380">
        <v>2.6539999999999999</v>
      </c>
      <c r="M1380" s="1">
        <v>100</v>
      </c>
      <c r="N1380" s="1" t="s">
        <v>3000</v>
      </c>
    </row>
    <row r="1381" spans="1:14" x14ac:dyDescent="0.25">
      <c r="A1381" t="s">
        <v>3017</v>
      </c>
      <c r="B1381" t="s">
        <v>2104</v>
      </c>
      <c r="C1381" t="s">
        <v>2103</v>
      </c>
      <c r="D1381" s="2">
        <v>2.7479766756844801E-2</v>
      </c>
      <c r="E1381" s="3">
        <v>4610635.6410828596</v>
      </c>
      <c r="H1381" t="s">
        <v>38</v>
      </c>
      <c r="I1381" t="s">
        <v>3140</v>
      </c>
      <c r="J1381" t="s">
        <v>3141</v>
      </c>
      <c r="K1381">
        <v>18.489999999999998</v>
      </c>
      <c r="L1381">
        <v>2.5659999999999998</v>
      </c>
      <c r="M1381" s="1">
        <v>100</v>
      </c>
      <c r="N1381" s="1" t="s">
        <v>3000</v>
      </c>
    </row>
    <row r="1382" spans="1:14" x14ac:dyDescent="0.25">
      <c r="A1382" t="s">
        <v>3029</v>
      </c>
      <c r="B1382" t="s">
        <v>2104</v>
      </c>
      <c r="C1382" t="s">
        <v>2103</v>
      </c>
      <c r="D1382" s="2">
        <v>2.8118489122556298E-2</v>
      </c>
      <c r="E1382" s="3">
        <v>4239520.8001119401</v>
      </c>
      <c r="H1382" t="s">
        <v>232</v>
      </c>
      <c r="I1382" t="s">
        <v>3178</v>
      </c>
      <c r="J1382" t="s">
        <v>3179</v>
      </c>
      <c r="K1382">
        <v>14.03</v>
      </c>
      <c r="L1382">
        <v>2.4660000000000002</v>
      </c>
      <c r="M1382" s="1">
        <v>100</v>
      </c>
      <c r="N1382" s="1" t="s">
        <v>3000</v>
      </c>
    </row>
    <row r="1383" spans="1:14" x14ac:dyDescent="0.25">
      <c r="A1383" t="s">
        <v>3039</v>
      </c>
      <c r="B1383" t="s">
        <v>2104</v>
      </c>
      <c r="C1383" t="s">
        <v>2103</v>
      </c>
      <c r="D1383" s="2">
        <v>3.5228168620495402E-2</v>
      </c>
      <c r="E1383" s="3">
        <v>2008052.5211130099</v>
      </c>
      <c r="H1383" t="s">
        <v>1293</v>
      </c>
      <c r="I1383" t="s">
        <v>3211</v>
      </c>
      <c r="J1383" t="s">
        <v>3212</v>
      </c>
      <c r="K1383">
        <v>14.66</v>
      </c>
      <c r="L1383">
        <v>2.4830000000000001</v>
      </c>
      <c r="M1383" s="1">
        <v>100</v>
      </c>
      <c r="N1383" s="1" t="s">
        <v>3000</v>
      </c>
    </row>
    <row r="1384" spans="1:14" x14ac:dyDescent="0.25">
      <c r="A1384" t="s">
        <v>3049</v>
      </c>
      <c r="B1384" t="s">
        <v>2104</v>
      </c>
      <c r="C1384" t="s">
        <v>2103</v>
      </c>
      <c r="D1384" s="2">
        <v>3.0799280069765098E-2</v>
      </c>
      <c r="E1384" s="3">
        <v>2985736.0823870399</v>
      </c>
      <c r="H1384" t="s">
        <v>130</v>
      </c>
      <c r="I1384" t="s">
        <v>3244</v>
      </c>
      <c r="J1384" t="s">
        <v>3245</v>
      </c>
      <c r="K1384">
        <v>20.399999999999999</v>
      </c>
      <c r="L1384">
        <v>2.4489999999999998</v>
      </c>
      <c r="M1384" s="1">
        <v>100</v>
      </c>
      <c r="N1384" s="1" t="s">
        <v>3000</v>
      </c>
    </row>
    <row r="1385" spans="1:14" x14ac:dyDescent="0.25">
      <c r="A1385" t="s">
        <v>3060</v>
      </c>
      <c r="B1385" t="s">
        <v>2104</v>
      </c>
      <c r="C1385" t="s">
        <v>2103</v>
      </c>
      <c r="D1385" s="2">
        <v>2.7012018500606201E-2</v>
      </c>
      <c r="E1385" s="3">
        <v>5598114.8565640999</v>
      </c>
      <c r="H1385" t="s">
        <v>347</v>
      </c>
      <c r="I1385" t="s">
        <v>3280</v>
      </c>
      <c r="J1385" t="s">
        <v>3281</v>
      </c>
      <c r="K1385">
        <v>17.21</v>
      </c>
      <c r="L1385">
        <v>2.464</v>
      </c>
      <c r="M1385" s="1">
        <v>100</v>
      </c>
      <c r="N1385" s="1" t="s">
        <v>3000</v>
      </c>
    </row>
    <row r="1386" spans="1:14" x14ac:dyDescent="0.25">
      <c r="A1386" t="s">
        <v>3071</v>
      </c>
      <c r="B1386" t="s">
        <v>2104</v>
      </c>
      <c r="C1386" t="s">
        <v>2103</v>
      </c>
      <c r="D1386" s="2">
        <v>3.1199033215090901E-2</v>
      </c>
      <c r="E1386" s="3">
        <v>2776917.6855363199</v>
      </c>
      <c r="H1386" t="s">
        <v>240</v>
      </c>
      <c r="I1386" t="s">
        <v>2849</v>
      </c>
      <c r="J1386" t="s">
        <v>3313</v>
      </c>
      <c r="K1386">
        <v>19.760000000000002</v>
      </c>
      <c r="L1386">
        <v>2.5150000000000001</v>
      </c>
      <c r="M1386" s="1">
        <v>100</v>
      </c>
      <c r="N1386" s="1" t="s">
        <v>3000</v>
      </c>
    </row>
    <row r="1387" spans="1:14" x14ac:dyDescent="0.25">
      <c r="A1387" t="s">
        <v>3082</v>
      </c>
      <c r="B1387" t="s">
        <v>2104</v>
      </c>
      <c r="C1387" t="s">
        <v>2103</v>
      </c>
      <c r="D1387" s="2">
        <v>3.1650602002779797E-2</v>
      </c>
      <c r="E1387" s="3">
        <v>2546908.38300604</v>
      </c>
      <c r="H1387" t="s">
        <v>284</v>
      </c>
      <c r="I1387" t="s">
        <v>1210</v>
      </c>
      <c r="J1387" t="s">
        <v>3158</v>
      </c>
      <c r="K1387">
        <v>18.489999999999998</v>
      </c>
      <c r="L1387">
        <v>2.6269999999999998</v>
      </c>
      <c r="M1387" s="1">
        <v>100</v>
      </c>
      <c r="N1387" s="1" t="s">
        <v>3000</v>
      </c>
    </row>
    <row r="1388" spans="1:14" x14ac:dyDescent="0.25">
      <c r="A1388" t="s">
        <v>3018</v>
      </c>
      <c r="B1388" t="s">
        <v>2104</v>
      </c>
      <c r="C1388" t="s">
        <v>2103</v>
      </c>
      <c r="D1388" s="2">
        <v>3.6526446178968802E-2</v>
      </c>
      <c r="E1388" s="3">
        <v>1760700.7751668899</v>
      </c>
      <c r="H1388" t="s">
        <v>88</v>
      </c>
      <c r="I1388" t="s">
        <v>3144</v>
      </c>
      <c r="J1388" t="s">
        <v>3145</v>
      </c>
      <c r="K1388">
        <v>19.760000000000002</v>
      </c>
      <c r="L1388">
        <v>2.5379999999999998</v>
      </c>
      <c r="M1388" s="1">
        <v>100</v>
      </c>
      <c r="N1388" s="1" t="s">
        <v>3000</v>
      </c>
    </row>
    <row r="1389" spans="1:14" x14ac:dyDescent="0.25">
      <c r="A1389" t="s">
        <v>3030</v>
      </c>
      <c r="B1389" t="s">
        <v>2104</v>
      </c>
      <c r="C1389" t="s">
        <v>2103</v>
      </c>
      <c r="D1389" s="2">
        <v>3.50111079655843E-2</v>
      </c>
      <c r="E1389" s="3">
        <v>2049060.9820458</v>
      </c>
      <c r="H1389" t="s">
        <v>570</v>
      </c>
      <c r="I1389" t="s">
        <v>3181</v>
      </c>
      <c r="J1389" t="s">
        <v>3182</v>
      </c>
      <c r="K1389">
        <v>14.66</v>
      </c>
      <c r="L1389">
        <v>2.4660000000000002</v>
      </c>
      <c r="M1389" s="1">
        <v>100</v>
      </c>
      <c r="N1389" s="1" t="s">
        <v>3000</v>
      </c>
    </row>
    <row r="1390" spans="1:14" x14ac:dyDescent="0.25">
      <c r="A1390" t="s">
        <v>3040</v>
      </c>
      <c r="B1390" t="s">
        <v>2104</v>
      </c>
      <c r="C1390" t="s">
        <v>2103</v>
      </c>
      <c r="D1390" s="2">
        <v>2.7720841900323499E-2</v>
      </c>
      <c r="E1390" s="3">
        <v>4537090.46320921</v>
      </c>
      <c r="H1390" t="s">
        <v>114</v>
      </c>
      <c r="I1390" t="s">
        <v>3214</v>
      </c>
      <c r="J1390" t="s">
        <v>3215</v>
      </c>
      <c r="K1390">
        <v>18.489999999999998</v>
      </c>
      <c r="L1390">
        <v>2.4820000000000002</v>
      </c>
      <c r="M1390" s="1">
        <v>100</v>
      </c>
      <c r="N1390" s="1" t="s">
        <v>3000</v>
      </c>
    </row>
    <row r="1391" spans="1:14" x14ac:dyDescent="0.25">
      <c r="A1391" t="s">
        <v>3050</v>
      </c>
      <c r="B1391" t="s">
        <v>2104</v>
      </c>
      <c r="C1391" t="s">
        <v>2103</v>
      </c>
      <c r="D1391" s="2">
        <v>2.6882258143913099E-2</v>
      </c>
      <c r="E1391" s="3">
        <v>7182743.2508922098</v>
      </c>
      <c r="H1391" t="s">
        <v>150</v>
      </c>
      <c r="I1391" t="s">
        <v>3248</v>
      </c>
      <c r="J1391" t="s">
        <v>3249</v>
      </c>
      <c r="K1391">
        <v>18.489999999999998</v>
      </c>
      <c r="L1391">
        <v>2.4830000000000001</v>
      </c>
      <c r="M1391" s="1">
        <v>100</v>
      </c>
      <c r="N1391" s="1" t="s">
        <v>3000</v>
      </c>
    </row>
    <row r="1392" spans="1:14" x14ac:dyDescent="0.25">
      <c r="A1392" t="s">
        <v>3061</v>
      </c>
      <c r="B1392" t="s">
        <v>2104</v>
      </c>
      <c r="C1392" t="s">
        <v>2103</v>
      </c>
      <c r="D1392" s="2">
        <v>2.7739234497160901E-2</v>
      </c>
      <c r="E1392" s="3">
        <v>4638206.6465739803</v>
      </c>
      <c r="H1392" t="s">
        <v>347</v>
      </c>
      <c r="I1392" t="s">
        <v>3284</v>
      </c>
      <c r="J1392" t="s">
        <v>3285</v>
      </c>
      <c r="K1392">
        <v>15.94</v>
      </c>
      <c r="L1392">
        <v>2.4329999999999998</v>
      </c>
      <c r="M1392" s="1">
        <v>100</v>
      </c>
      <c r="N1392" s="1" t="s">
        <v>3000</v>
      </c>
    </row>
    <row r="1393" spans="1:14" x14ac:dyDescent="0.25">
      <c r="A1393" t="s">
        <v>3072</v>
      </c>
      <c r="B1393" t="s">
        <v>2104</v>
      </c>
      <c r="C1393" t="s">
        <v>2103</v>
      </c>
      <c r="D1393" s="2">
        <v>5.7726864888093199E-2</v>
      </c>
      <c r="E1393" s="3">
        <v>614628.82923608203</v>
      </c>
      <c r="H1393" t="s">
        <v>17</v>
      </c>
      <c r="I1393" t="s">
        <v>3315</v>
      </c>
      <c r="J1393" t="s">
        <v>3316</v>
      </c>
      <c r="K1393">
        <v>15.3</v>
      </c>
      <c r="L1393">
        <v>2.5009999999999999</v>
      </c>
      <c r="M1393" s="1">
        <v>100</v>
      </c>
      <c r="N1393" s="1" t="s">
        <v>3000</v>
      </c>
    </row>
    <row r="1394" spans="1:14" x14ac:dyDescent="0.25">
      <c r="A1394" t="s">
        <v>3083</v>
      </c>
      <c r="B1394" t="s">
        <v>2104</v>
      </c>
      <c r="C1394" t="s">
        <v>2103</v>
      </c>
      <c r="D1394" s="2">
        <v>4.4513156706043E-2</v>
      </c>
      <c r="E1394" s="3">
        <v>1049951.4198665901</v>
      </c>
      <c r="H1394" t="s">
        <v>189</v>
      </c>
      <c r="I1394" t="s">
        <v>256</v>
      </c>
      <c r="J1394" t="s">
        <v>3345</v>
      </c>
      <c r="K1394">
        <v>17.21</v>
      </c>
      <c r="L1394">
        <v>2.6549999999999998</v>
      </c>
      <c r="M1394" s="1">
        <v>100</v>
      </c>
      <c r="N1394" s="1" t="s">
        <v>3000</v>
      </c>
    </row>
    <row r="1395" spans="1:14" x14ac:dyDescent="0.25">
      <c r="A1395" t="s">
        <v>3019</v>
      </c>
      <c r="B1395" t="s">
        <v>2104</v>
      </c>
      <c r="C1395" t="s">
        <v>2103</v>
      </c>
      <c r="D1395" s="2">
        <v>3.3884754769393503E-2</v>
      </c>
      <c r="E1395" s="3">
        <v>2149821.2072362001</v>
      </c>
      <c r="H1395" t="s">
        <v>207</v>
      </c>
      <c r="I1395" t="s">
        <v>2354</v>
      </c>
      <c r="J1395" t="s">
        <v>3148</v>
      </c>
      <c r="K1395">
        <v>19.760000000000002</v>
      </c>
      <c r="L1395">
        <v>2.5409999999999999</v>
      </c>
      <c r="M1395" s="1">
        <v>100</v>
      </c>
      <c r="N1395" s="1" t="s">
        <v>3000</v>
      </c>
    </row>
    <row r="1396" spans="1:14" x14ac:dyDescent="0.25">
      <c r="A1396" t="s">
        <v>3031</v>
      </c>
      <c r="B1396" t="s">
        <v>2104</v>
      </c>
      <c r="C1396" t="s">
        <v>2103</v>
      </c>
      <c r="D1396" s="2">
        <v>4.1273732569527197E-2</v>
      </c>
      <c r="E1396" s="3">
        <v>1305751.9553358101</v>
      </c>
      <c r="H1396" t="s">
        <v>145</v>
      </c>
      <c r="I1396" t="s">
        <v>3184</v>
      </c>
      <c r="J1396" t="s">
        <v>3185</v>
      </c>
      <c r="K1396">
        <v>20.399999999999999</v>
      </c>
      <c r="L1396">
        <v>2.5289999999999999</v>
      </c>
      <c r="M1396" s="1">
        <v>100</v>
      </c>
      <c r="N1396" s="1" t="s">
        <v>3000</v>
      </c>
    </row>
    <row r="1397" spans="1:14" x14ac:dyDescent="0.25">
      <c r="A1397" t="s">
        <v>3041</v>
      </c>
      <c r="B1397" t="s">
        <v>2104</v>
      </c>
      <c r="C1397" t="s">
        <v>2103</v>
      </c>
      <c r="D1397" s="2">
        <v>2.8220696751866201E-2</v>
      </c>
      <c r="E1397" s="3">
        <v>4139590.6137939701</v>
      </c>
      <c r="H1397" t="s">
        <v>516</v>
      </c>
      <c r="I1397" t="s">
        <v>3218</v>
      </c>
      <c r="J1397" t="s">
        <v>3219</v>
      </c>
      <c r="K1397">
        <v>18.489999999999998</v>
      </c>
      <c r="L1397">
        <v>2.4729999999999999</v>
      </c>
      <c r="M1397" s="1">
        <v>100</v>
      </c>
      <c r="N1397" s="1" t="s">
        <v>3000</v>
      </c>
    </row>
    <row r="1398" spans="1:14" x14ac:dyDescent="0.25">
      <c r="A1398" t="s">
        <v>3051</v>
      </c>
      <c r="B1398" t="s">
        <v>2104</v>
      </c>
      <c r="C1398" t="s">
        <v>2103</v>
      </c>
      <c r="D1398" s="2">
        <v>3.3833812095162799E-2</v>
      </c>
      <c r="E1398" s="3">
        <v>2216173.4626844702</v>
      </c>
      <c r="H1398" t="s">
        <v>232</v>
      </c>
      <c r="I1398" t="s">
        <v>3252</v>
      </c>
      <c r="J1398" t="s">
        <v>3253</v>
      </c>
      <c r="K1398">
        <v>19.13</v>
      </c>
      <c r="L1398">
        <v>2.4750000000000001</v>
      </c>
      <c r="M1398" s="1">
        <v>100</v>
      </c>
      <c r="N1398" s="1" t="s">
        <v>3000</v>
      </c>
    </row>
    <row r="1399" spans="1:14" x14ac:dyDescent="0.25">
      <c r="A1399" t="s">
        <v>3062</v>
      </c>
      <c r="B1399" t="s">
        <v>2104</v>
      </c>
      <c r="C1399" t="s">
        <v>2103</v>
      </c>
      <c r="D1399" s="2">
        <v>2.8371889860848098E-2</v>
      </c>
      <c r="E1399" s="3">
        <v>4034160.5428112899</v>
      </c>
      <c r="H1399" t="s">
        <v>162</v>
      </c>
      <c r="I1399" t="s">
        <v>3288</v>
      </c>
      <c r="J1399" t="s">
        <v>402</v>
      </c>
      <c r="K1399">
        <v>14.03</v>
      </c>
      <c r="L1399">
        <v>2.48</v>
      </c>
      <c r="M1399" s="1">
        <v>100</v>
      </c>
      <c r="N1399" s="1" t="s">
        <v>3000</v>
      </c>
    </row>
    <row r="1400" spans="1:14" x14ac:dyDescent="0.25">
      <c r="A1400" t="s">
        <v>3073</v>
      </c>
      <c r="B1400" t="s">
        <v>2104</v>
      </c>
      <c r="C1400" t="s">
        <v>2103</v>
      </c>
      <c r="D1400" s="2">
        <v>2.8102069063869799E-2</v>
      </c>
      <c r="E1400" s="3">
        <v>4110648.45024801</v>
      </c>
      <c r="H1400" t="s">
        <v>222</v>
      </c>
      <c r="I1400" t="s">
        <v>3319</v>
      </c>
      <c r="J1400" t="s">
        <v>3320</v>
      </c>
      <c r="K1400">
        <v>19.13</v>
      </c>
      <c r="L1400">
        <v>2.54</v>
      </c>
      <c r="M1400" s="1">
        <v>100</v>
      </c>
      <c r="N1400" s="1" t="s">
        <v>3000</v>
      </c>
    </row>
    <row r="1401" spans="1:14" x14ac:dyDescent="0.25">
      <c r="A1401" t="s">
        <v>3084</v>
      </c>
      <c r="B1401" t="s">
        <v>2104</v>
      </c>
      <c r="C1401" t="s">
        <v>2103</v>
      </c>
      <c r="D1401" s="2">
        <v>2.7513419402450699E-2</v>
      </c>
      <c r="E1401" s="3">
        <v>8168099.5736906799</v>
      </c>
      <c r="H1401" t="s">
        <v>169</v>
      </c>
      <c r="I1401" t="s">
        <v>2804</v>
      </c>
      <c r="J1401" t="s">
        <v>3348</v>
      </c>
      <c r="K1401">
        <v>16.579999999999998</v>
      </c>
      <c r="L1401">
        <v>2.621</v>
      </c>
      <c r="M1401" s="1">
        <v>100</v>
      </c>
      <c r="N1401" s="1" t="s">
        <v>3000</v>
      </c>
    </row>
    <row r="1402" spans="1:14" x14ac:dyDescent="0.25">
      <c r="A1402" t="s">
        <v>3009</v>
      </c>
      <c r="B1402" t="s">
        <v>2104</v>
      </c>
      <c r="C1402" t="s">
        <v>2103</v>
      </c>
      <c r="D1402" s="2">
        <v>6.8813163697105606E-2</v>
      </c>
      <c r="E1402" s="3">
        <v>403383.82328743598</v>
      </c>
      <c r="H1402" t="s">
        <v>91</v>
      </c>
      <c r="I1402" t="s">
        <v>304</v>
      </c>
      <c r="J1402" t="s">
        <v>1517</v>
      </c>
      <c r="K1402">
        <v>14.66</v>
      </c>
      <c r="L1402">
        <v>2.6219999999999999</v>
      </c>
      <c r="M1402" s="1">
        <v>100</v>
      </c>
      <c r="N1402" s="1" t="s">
        <v>3000</v>
      </c>
    </row>
    <row r="1403" spans="1:14" x14ac:dyDescent="0.25">
      <c r="A1403" t="s">
        <v>3020</v>
      </c>
      <c r="B1403" t="s">
        <v>2104</v>
      </c>
      <c r="C1403" t="s">
        <v>2103</v>
      </c>
      <c r="D1403" s="2">
        <v>2.7560649609243201E-2</v>
      </c>
      <c r="E1403" s="3">
        <v>4513595.68919334</v>
      </c>
      <c r="H1403" t="s">
        <v>227</v>
      </c>
      <c r="I1403" t="s">
        <v>3151</v>
      </c>
      <c r="J1403" t="s">
        <v>3152</v>
      </c>
      <c r="K1403">
        <v>18.489999999999998</v>
      </c>
      <c r="L1403">
        <v>2.5750000000000002</v>
      </c>
      <c r="M1403" s="1">
        <v>100</v>
      </c>
      <c r="N1403" s="1" t="s">
        <v>3000</v>
      </c>
    </row>
    <row r="1404" spans="1:14" x14ac:dyDescent="0.25">
      <c r="A1404" t="s">
        <v>3032</v>
      </c>
      <c r="B1404" t="s">
        <v>2104</v>
      </c>
      <c r="C1404" t="s">
        <v>2103</v>
      </c>
      <c r="D1404" s="2">
        <v>4.3272222988562301E-2</v>
      </c>
      <c r="E1404" s="3">
        <v>1158469.15432798</v>
      </c>
      <c r="H1404" t="s">
        <v>745</v>
      </c>
      <c r="I1404" t="s">
        <v>3188</v>
      </c>
      <c r="J1404" t="s">
        <v>3189</v>
      </c>
      <c r="K1404">
        <v>16.579999999999998</v>
      </c>
      <c r="L1404">
        <v>2.5419999999999998</v>
      </c>
      <c r="M1404" s="1">
        <v>100</v>
      </c>
      <c r="N1404" s="1" t="s">
        <v>3000</v>
      </c>
    </row>
    <row r="1405" spans="1:14" x14ac:dyDescent="0.25">
      <c r="A1405" t="s">
        <v>3042</v>
      </c>
      <c r="B1405" t="s">
        <v>2104</v>
      </c>
      <c r="C1405" t="s">
        <v>2103</v>
      </c>
      <c r="D1405" s="2">
        <v>4.16517295568695E-2</v>
      </c>
      <c r="E1405" s="3">
        <v>1291916.3123643401</v>
      </c>
      <c r="H1405" t="s">
        <v>79</v>
      </c>
      <c r="I1405" t="s">
        <v>3222</v>
      </c>
      <c r="J1405" t="s">
        <v>3223</v>
      </c>
      <c r="K1405">
        <v>19.760000000000002</v>
      </c>
      <c r="L1405">
        <v>2.4969999999999999</v>
      </c>
      <c r="M1405" s="1">
        <v>100</v>
      </c>
      <c r="N1405" s="1" t="s">
        <v>3000</v>
      </c>
    </row>
    <row r="1406" spans="1:14" x14ac:dyDescent="0.25">
      <c r="A1406" t="s">
        <v>3011</v>
      </c>
      <c r="B1406" t="s">
        <v>2104</v>
      </c>
      <c r="C1406" t="s">
        <v>2103</v>
      </c>
      <c r="D1406" s="2">
        <v>4.6828216022117702E-2</v>
      </c>
      <c r="E1406" s="3">
        <v>941358.59962029103</v>
      </c>
      <c r="H1406" t="s">
        <v>1180</v>
      </c>
      <c r="I1406" t="s">
        <v>3119</v>
      </c>
      <c r="J1406" t="s">
        <v>1042</v>
      </c>
      <c r="K1406">
        <v>14.66</v>
      </c>
      <c r="L1406">
        <v>2.6989999999999998</v>
      </c>
      <c r="M1406" s="1">
        <v>100</v>
      </c>
      <c r="N1406" s="1" t="s">
        <v>3000</v>
      </c>
    </row>
    <row r="1407" spans="1:14" x14ac:dyDescent="0.25">
      <c r="A1407" t="s">
        <v>3022</v>
      </c>
      <c r="B1407" t="s">
        <v>2104</v>
      </c>
      <c r="C1407" t="s">
        <v>2103</v>
      </c>
      <c r="D1407" s="2">
        <v>3.1624225853021597E-2</v>
      </c>
      <c r="E1407" s="3">
        <v>2484928.94610734</v>
      </c>
      <c r="H1407" t="s">
        <v>98</v>
      </c>
      <c r="I1407" t="s">
        <v>3157</v>
      </c>
      <c r="J1407" t="s">
        <v>3158</v>
      </c>
      <c r="K1407">
        <v>17.850000000000001</v>
      </c>
      <c r="L1407">
        <v>2.6960000000000002</v>
      </c>
      <c r="M1407" s="1">
        <v>100</v>
      </c>
      <c r="N1407" s="1" t="s">
        <v>3000</v>
      </c>
    </row>
    <row r="1408" spans="1:14" x14ac:dyDescent="0.25">
      <c r="A1408" t="s">
        <v>3033</v>
      </c>
      <c r="B1408" t="s">
        <v>2104</v>
      </c>
      <c r="C1408" t="s">
        <v>2103</v>
      </c>
      <c r="D1408" s="2">
        <v>3.4114823376072897E-2</v>
      </c>
      <c r="E1408" s="3">
        <v>2008424.2598048099</v>
      </c>
      <c r="H1408" t="s">
        <v>893</v>
      </c>
      <c r="I1408" t="s">
        <v>3193</v>
      </c>
      <c r="J1408" t="s">
        <v>3194</v>
      </c>
      <c r="K1408">
        <v>17.850000000000001</v>
      </c>
      <c r="L1408">
        <v>2.67</v>
      </c>
      <c r="M1408" s="1">
        <v>100</v>
      </c>
      <c r="N1408" s="1" t="s">
        <v>3000</v>
      </c>
    </row>
    <row r="1409" spans="1:14" x14ac:dyDescent="0.25">
      <c r="A1409" t="s">
        <v>3043</v>
      </c>
      <c r="B1409" t="s">
        <v>2104</v>
      </c>
      <c r="C1409" t="s">
        <v>2103</v>
      </c>
      <c r="D1409" s="2">
        <v>4.4853224633955698E-2</v>
      </c>
      <c r="E1409" s="3">
        <v>1010686.6840473301</v>
      </c>
      <c r="H1409" t="s">
        <v>663</v>
      </c>
      <c r="I1409" t="s">
        <v>1252</v>
      </c>
      <c r="J1409" t="s">
        <v>3228</v>
      </c>
      <c r="K1409">
        <v>13.39</v>
      </c>
      <c r="L1409">
        <v>2.6970000000000001</v>
      </c>
      <c r="M1409" s="1">
        <v>100</v>
      </c>
      <c r="N1409" s="1" t="s">
        <v>3000</v>
      </c>
    </row>
    <row r="1410" spans="1:14" x14ac:dyDescent="0.25">
      <c r="A1410" t="s">
        <v>3053</v>
      </c>
      <c r="B1410" t="s">
        <v>2104</v>
      </c>
      <c r="C1410" t="s">
        <v>2103</v>
      </c>
      <c r="D1410" s="2">
        <v>4.1398744557102997E-2</v>
      </c>
      <c r="E1410" s="3">
        <v>1222047.1215747199</v>
      </c>
      <c r="H1410" t="s">
        <v>767</v>
      </c>
      <c r="I1410" t="s">
        <v>3261</v>
      </c>
      <c r="J1410" t="s">
        <v>2878</v>
      </c>
      <c r="K1410">
        <v>14.66</v>
      </c>
      <c r="L1410">
        <v>2.6829999999999998</v>
      </c>
      <c r="M1410" s="1">
        <v>100</v>
      </c>
      <c r="N1410" s="1" t="s">
        <v>3000</v>
      </c>
    </row>
    <row r="1411" spans="1:14" x14ac:dyDescent="0.25">
      <c r="A1411" t="s">
        <v>3064</v>
      </c>
      <c r="B1411" t="s">
        <v>2104</v>
      </c>
      <c r="C1411" t="s">
        <v>2103</v>
      </c>
      <c r="D1411" s="2">
        <v>4.8066167811475699E-2</v>
      </c>
      <c r="E1411" s="3">
        <v>858409.68727777305</v>
      </c>
      <c r="H1411" t="s">
        <v>287</v>
      </c>
      <c r="I1411" t="s">
        <v>3292</v>
      </c>
      <c r="J1411" t="s">
        <v>3293</v>
      </c>
      <c r="K1411">
        <v>17.850000000000001</v>
      </c>
      <c r="L1411">
        <v>2.7010000000000001</v>
      </c>
      <c r="M1411" s="1">
        <v>100</v>
      </c>
      <c r="N1411" s="1" t="s">
        <v>3000</v>
      </c>
    </row>
    <row r="1412" spans="1:14" x14ac:dyDescent="0.25">
      <c r="A1412" t="s">
        <v>3075</v>
      </c>
      <c r="B1412" t="s">
        <v>2104</v>
      </c>
      <c r="C1412" t="s">
        <v>2103</v>
      </c>
      <c r="D1412" s="2">
        <v>2.9230756870607499E-2</v>
      </c>
      <c r="E1412" s="3">
        <v>3265544.0594341201</v>
      </c>
      <c r="H1412" t="s">
        <v>347</v>
      </c>
      <c r="I1412" t="s">
        <v>1338</v>
      </c>
      <c r="J1412" t="s">
        <v>2526</v>
      </c>
      <c r="K1412">
        <v>17.21</v>
      </c>
      <c r="L1412">
        <v>2.7080000000000002</v>
      </c>
      <c r="M1412" s="1">
        <v>100</v>
      </c>
      <c r="N1412" s="1" t="s">
        <v>3000</v>
      </c>
    </row>
    <row r="1413" spans="1:14" x14ac:dyDescent="0.25">
      <c r="A1413" t="s">
        <v>3669</v>
      </c>
      <c r="B1413" t="s">
        <v>2104</v>
      </c>
      <c r="C1413" t="s">
        <v>2103</v>
      </c>
      <c r="D1413" s="2">
        <v>2.84918431709217E-2</v>
      </c>
      <c r="E1413" s="3">
        <v>3716340.49998865</v>
      </c>
      <c r="H1413" t="s">
        <v>150</v>
      </c>
      <c r="I1413" t="s">
        <v>3089</v>
      </c>
      <c r="J1413" t="s">
        <v>2931</v>
      </c>
      <c r="K1413">
        <v>15.94</v>
      </c>
      <c r="L1413">
        <v>2.65</v>
      </c>
      <c r="M1413" s="1">
        <v>100</v>
      </c>
      <c r="N1413" s="1" t="s">
        <v>3000</v>
      </c>
    </row>
    <row r="1414" spans="1:14" x14ac:dyDescent="0.25">
      <c r="A1414" t="s">
        <v>3012</v>
      </c>
      <c r="B1414" t="s">
        <v>2104</v>
      </c>
      <c r="C1414" t="s">
        <v>2103</v>
      </c>
      <c r="D1414" s="2">
        <v>5.26281223405713E-2</v>
      </c>
      <c r="E1414" s="3">
        <v>714802.85118837503</v>
      </c>
      <c r="H1414" t="s">
        <v>767</v>
      </c>
      <c r="I1414" t="s">
        <v>3122</v>
      </c>
      <c r="J1414" t="s">
        <v>939</v>
      </c>
      <c r="K1414">
        <v>16.579999999999998</v>
      </c>
      <c r="L1414">
        <v>2.6440000000000001</v>
      </c>
      <c r="M1414" s="1">
        <v>100</v>
      </c>
      <c r="N1414" s="1" t="s">
        <v>3000</v>
      </c>
    </row>
    <row r="1415" spans="1:14" x14ac:dyDescent="0.25">
      <c r="A1415" t="s">
        <v>3023</v>
      </c>
      <c r="B1415" t="s">
        <v>2104</v>
      </c>
      <c r="C1415" t="s">
        <v>2103</v>
      </c>
      <c r="D1415" s="2">
        <v>3.05115187458622E-2</v>
      </c>
      <c r="E1415" s="3">
        <v>2874660.1342396499</v>
      </c>
      <c r="H1415" t="s">
        <v>27</v>
      </c>
      <c r="I1415" t="s">
        <v>3159</v>
      </c>
      <c r="J1415" t="s">
        <v>3160</v>
      </c>
      <c r="K1415">
        <v>21.04</v>
      </c>
      <c r="L1415">
        <v>2.6179999999999999</v>
      </c>
      <c r="M1415" s="1">
        <v>100</v>
      </c>
      <c r="N1415" s="1" t="s">
        <v>3000</v>
      </c>
    </row>
    <row r="1416" spans="1:14" x14ac:dyDescent="0.25">
      <c r="A1416" t="s">
        <v>3034</v>
      </c>
      <c r="B1416" t="s">
        <v>2104</v>
      </c>
      <c r="C1416" t="s">
        <v>2103</v>
      </c>
      <c r="D1416" s="2">
        <v>5.8540469207036198E-2</v>
      </c>
      <c r="E1416" s="3">
        <v>579390.676376833</v>
      </c>
      <c r="H1416" t="s">
        <v>421</v>
      </c>
      <c r="I1416" t="s">
        <v>3196</v>
      </c>
      <c r="J1416" t="s">
        <v>3197</v>
      </c>
      <c r="K1416">
        <v>21.04</v>
      </c>
      <c r="L1416">
        <v>2.5790000000000002</v>
      </c>
      <c r="M1416" s="1">
        <v>100</v>
      </c>
      <c r="N1416" s="1" t="s">
        <v>3000</v>
      </c>
    </row>
    <row r="1417" spans="1:14" x14ac:dyDescent="0.25">
      <c r="A1417" t="s">
        <v>3054</v>
      </c>
      <c r="B1417" t="s">
        <v>2104</v>
      </c>
      <c r="C1417" t="s">
        <v>2103</v>
      </c>
      <c r="D1417" s="2">
        <v>4.1336427559640003E-2</v>
      </c>
      <c r="E1417" s="3">
        <v>1264323.00900612</v>
      </c>
      <c r="H1417" t="s">
        <v>685</v>
      </c>
      <c r="I1417" t="s">
        <v>3263</v>
      </c>
      <c r="J1417" t="s">
        <v>3185</v>
      </c>
      <c r="K1417">
        <v>17.21</v>
      </c>
      <c r="L1417">
        <v>2.605</v>
      </c>
      <c r="M1417" s="1">
        <v>100</v>
      </c>
      <c r="N1417" s="1" t="s">
        <v>3000</v>
      </c>
    </row>
    <row r="1418" spans="1:14" x14ac:dyDescent="0.25">
      <c r="A1418" t="s">
        <v>3065</v>
      </c>
      <c r="B1418" t="s">
        <v>2104</v>
      </c>
      <c r="C1418" t="s">
        <v>2103</v>
      </c>
      <c r="D1418" s="2">
        <v>3.8346929276510802E-2</v>
      </c>
      <c r="E1418" s="3">
        <v>1523131.7154758801</v>
      </c>
      <c r="H1418" t="s">
        <v>549</v>
      </c>
      <c r="I1418" t="s">
        <v>674</v>
      </c>
      <c r="J1418" t="s">
        <v>3296</v>
      </c>
      <c r="K1418">
        <v>18.489999999999998</v>
      </c>
      <c r="L1418">
        <v>2.613</v>
      </c>
      <c r="M1418" s="1">
        <v>100</v>
      </c>
      <c r="N1418" s="1" t="s">
        <v>3000</v>
      </c>
    </row>
    <row r="1419" spans="1:14" x14ac:dyDescent="0.25">
      <c r="A1419" t="s">
        <v>3076</v>
      </c>
      <c r="B1419" t="s">
        <v>2104</v>
      </c>
      <c r="C1419" t="s">
        <v>2103</v>
      </c>
      <c r="D1419" s="2">
        <v>3.4910180768529697E-2</v>
      </c>
      <c r="E1419" s="3">
        <v>1891631.7922253101</v>
      </c>
      <c r="H1419" t="s">
        <v>1081</v>
      </c>
      <c r="I1419" t="s">
        <v>3328</v>
      </c>
      <c r="J1419" t="s">
        <v>3329</v>
      </c>
      <c r="K1419">
        <v>21.04</v>
      </c>
      <c r="L1419">
        <v>2.7010000000000001</v>
      </c>
      <c r="M1419" s="1">
        <v>100</v>
      </c>
      <c r="N1419" s="1" t="s">
        <v>3000</v>
      </c>
    </row>
    <row r="1420" spans="1:14" x14ac:dyDescent="0.25">
      <c r="A1420" t="s">
        <v>3002</v>
      </c>
      <c r="B1420" t="s">
        <v>2104</v>
      </c>
      <c r="C1420" t="s">
        <v>2103</v>
      </c>
      <c r="D1420" s="2">
        <v>3.5530318841637099E-2</v>
      </c>
      <c r="E1420" s="3">
        <v>1837229.7597105501</v>
      </c>
      <c r="H1420" t="s">
        <v>235</v>
      </c>
      <c r="I1420" t="s">
        <v>2859</v>
      </c>
      <c r="J1420" t="s">
        <v>3092</v>
      </c>
      <c r="K1420">
        <v>11.48</v>
      </c>
      <c r="L1420">
        <v>2.6579999999999999</v>
      </c>
      <c r="M1420" s="1">
        <v>100</v>
      </c>
      <c r="N1420" s="1" t="s">
        <v>3000</v>
      </c>
    </row>
    <row r="1421" spans="1:14" x14ac:dyDescent="0.25">
      <c r="A1421" t="s">
        <v>3013</v>
      </c>
      <c r="B1421" t="s">
        <v>2104</v>
      </c>
      <c r="C1421" t="s">
        <v>2103</v>
      </c>
      <c r="D1421" s="2">
        <v>4.8441129427294997E-2</v>
      </c>
      <c r="E1421" s="3">
        <v>870841.34102388495</v>
      </c>
      <c r="H1421" t="s">
        <v>287</v>
      </c>
      <c r="I1421" t="s">
        <v>3125</v>
      </c>
      <c r="J1421" t="s">
        <v>3126</v>
      </c>
      <c r="K1421">
        <v>14.66</v>
      </c>
      <c r="L1421">
        <v>2.6160000000000001</v>
      </c>
      <c r="M1421" s="1">
        <v>100</v>
      </c>
      <c r="N1421" s="1" t="s">
        <v>3000</v>
      </c>
    </row>
    <row r="1422" spans="1:14" x14ac:dyDescent="0.25">
      <c r="A1422" t="s">
        <v>3024</v>
      </c>
      <c r="B1422" t="s">
        <v>2104</v>
      </c>
      <c r="C1422" t="s">
        <v>2103</v>
      </c>
      <c r="D1422" s="2">
        <v>2.76575021545305E-2</v>
      </c>
      <c r="E1422" s="3">
        <v>4586080.64231716</v>
      </c>
      <c r="H1422" t="s">
        <v>198</v>
      </c>
      <c r="I1422" t="s">
        <v>3162</v>
      </c>
      <c r="J1422" t="s">
        <v>3163</v>
      </c>
      <c r="K1422">
        <v>14.03</v>
      </c>
      <c r="L1422">
        <v>2.492</v>
      </c>
      <c r="M1422" s="1">
        <v>100</v>
      </c>
      <c r="N1422" s="1" t="s">
        <v>3000</v>
      </c>
    </row>
    <row r="1423" spans="1:14" x14ac:dyDescent="0.25">
      <c r="A1423" t="s">
        <v>1850</v>
      </c>
      <c r="B1423" t="s">
        <v>2104</v>
      </c>
      <c r="C1423" t="s">
        <v>2103</v>
      </c>
      <c r="D1423" s="2">
        <v>2.81117118881208E-2</v>
      </c>
      <c r="E1423" s="3">
        <v>4076600.4022433101</v>
      </c>
      <c r="H1423" t="s">
        <v>297</v>
      </c>
      <c r="I1423" t="s">
        <v>3200</v>
      </c>
      <c r="J1423" t="s">
        <v>3201</v>
      </c>
      <c r="K1423">
        <v>17.21</v>
      </c>
      <c r="L1423">
        <v>2.5630000000000002</v>
      </c>
      <c r="M1423" s="1">
        <v>100</v>
      </c>
      <c r="N1423" s="1" t="s">
        <v>3000</v>
      </c>
    </row>
    <row r="1424" spans="1:14" x14ac:dyDescent="0.25">
      <c r="A1424" t="s">
        <v>3044</v>
      </c>
      <c r="B1424" t="s">
        <v>2104</v>
      </c>
      <c r="C1424" t="s">
        <v>2103</v>
      </c>
      <c r="D1424" s="2">
        <v>3.4459290073586397E-2</v>
      </c>
      <c r="E1424" s="3">
        <v>2030639.2309483101</v>
      </c>
      <c r="H1424" t="s">
        <v>82</v>
      </c>
      <c r="I1424" t="s">
        <v>3230</v>
      </c>
      <c r="J1424" t="s">
        <v>3134</v>
      </c>
      <c r="K1424">
        <v>14.03</v>
      </c>
      <c r="L1424">
        <v>2.5739999999999998</v>
      </c>
      <c r="M1424" s="1">
        <v>100</v>
      </c>
      <c r="N1424" s="1" t="s">
        <v>3000</v>
      </c>
    </row>
    <row r="1425" spans="1:14" x14ac:dyDescent="0.25">
      <c r="A1425" t="s">
        <v>3055</v>
      </c>
      <c r="B1425" t="s">
        <v>2104</v>
      </c>
      <c r="C1425" t="s">
        <v>2103</v>
      </c>
      <c r="D1425" s="2">
        <v>3.04545935756497E-2</v>
      </c>
      <c r="E1425" s="3">
        <v>2992643.57535727</v>
      </c>
      <c r="H1425" t="s">
        <v>98</v>
      </c>
      <c r="I1425" t="s">
        <v>3266</v>
      </c>
      <c r="J1425" t="s">
        <v>3267</v>
      </c>
      <c r="K1425">
        <v>15.3</v>
      </c>
      <c r="L1425">
        <v>2.5329999999999999</v>
      </c>
      <c r="M1425" s="1">
        <v>100</v>
      </c>
      <c r="N1425" s="1" t="s">
        <v>3000</v>
      </c>
    </row>
    <row r="1426" spans="1:14" x14ac:dyDescent="0.25">
      <c r="A1426" t="s">
        <v>3066</v>
      </c>
      <c r="B1426" t="s">
        <v>2104</v>
      </c>
      <c r="C1426" t="s">
        <v>2103</v>
      </c>
      <c r="D1426" s="2">
        <v>3.82693621662797E-2</v>
      </c>
      <c r="E1426" s="3">
        <v>1540849.6620322601</v>
      </c>
      <c r="H1426" t="s">
        <v>41</v>
      </c>
      <c r="I1426" t="s">
        <v>3299</v>
      </c>
      <c r="J1426" t="s">
        <v>3300</v>
      </c>
      <c r="K1426">
        <v>14.66</v>
      </c>
      <c r="L1426">
        <v>2.593</v>
      </c>
      <c r="M1426" s="1">
        <v>100</v>
      </c>
      <c r="N1426" s="1" t="s">
        <v>3000</v>
      </c>
    </row>
    <row r="1427" spans="1:14" x14ac:dyDescent="0.25">
      <c r="A1427" t="s">
        <v>3077</v>
      </c>
      <c r="B1427" t="s">
        <v>2104</v>
      </c>
      <c r="C1427" t="s">
        <v>2103</v>
      </c>
      <c r="D1427" s="2">
        <v>2.6834552805636801E-2</v>
      </c>
      <c r="E1427" s="3">
        <v>6246241.2520671003</v>
      </c>
      <c r="H1427" t="s">
        <v>552</v>
      </c>
      <c r="I1427" t="s">
        <v>3332</v>
      </c>
      <c r="J1427" t="s">
        <v>3333</v>
      </c>
      <c r="K1427">
        <v>18.489999999999998</v>
      </c>
      <c r="L1427">
        <v>2.7160000000000002</v>
      </c>
      <c r="M1427" s="1">
        <v>100</v>
      </c>
      <c r="N1427" s="1" t="s">
        <v>3000</v>
      </c>
    </row>
    <row r="1428" spans="1:14" x14ac:dyDescent="0.25">
      <c r="A1428" t="s">
        <v>3003</v>
      </c>
      <c r="B1428" t="s">
        <v>2104</v>
      </c>
      <c r="C1428" t="s">
        <v>2103</v>
      </c>
      <c r="D1428" s="2">
        <v>2.91955002818725E-2</v>
      </c>
      <c r="E1428" s="3">
        <v>3338036.9083790602</v>
      </c>
      <c r="H1428" t="s">
        <v>71</v>
      </c>
      <c r="I1428" t="s">
        <v>3095</v>
      </c>
      <c r="J1428" t="s">
        <v>3096</v>
      </c>
      <c r="K1428">
        <v>14.66</v>
      </c>
      <c r="L1428">
        <v>2.66</v>
      </c>
      <c r="M1428" s="1">
        <v>100</v>
      </c>
      <c r="N1428" s="1" t="s">
        <v>3000</v>
      </c>
    </row>
    <row r="1429" spans="1:14" x14ac:dyDescent="0.25">
      <c r="A1429" t="s">
        <v>3014</v>
      </c>
      <c r="B1429" t="s">
        <v>2104</v>
      </c>
      <c r="C1429" t="s">
        <v>2103</v>
      </c>
      <c r="D1429" s="2">
        <v>2.8171062215407699E-2</v>
      </c>
      <c r="E1429" s="3">
        <v>4285815.3008026602</v>
      </c>
      <c r="H1429" t="s">
        <v>3129</v>
      </c>
      <c r="I1429" t="s">
        <v>3130</v>
      </c>
      <c r="J1429" t="s">
        <v>3131</v>
      </c>
      <c r="K1429">
        <v>17.21</v>
      </c>
      <c r="L1429">
        <v>2.5859999999999999</v>
      </c>
      <c r="M1429" s="1">
        <v>100</v>
      </c>
      <c r="N1429" s="1" t="s">
        <v>3000</v>
      </c>
    </row>
    <row r="1430" spans="1:14" x14ac:dyDescent="0.25">
      <c r="A1430" t="s">
        <v>3025</v>
      </c>
      <c r="B1430" t="s">
        <v>2104</v>
      </c>
      <c r="C1430" t="s">
        <v>2103</v>
      </c>
      <c r="D1430" s="2">
        <v>2.8037790147758E-2</v>
      </c>
      <c r="E1430" s="3">
        <v>4794529.9869813398</v>
      </c>
      <c r="H1430" t="s">
        <v>361</v>
      </c>
      <c r="I1430" t="s">
        <v>3166</v>
      </c>
      <c r="J1430" t="s">
        <v>3167</v>
      </c>
      <c r="K1430">
        <v>17.21</v>
      </c>
      <c r="L1430">
        <v>2.5</v>
      </c>
      <c r="M1430" s="1">
        <v>100</v>
      </c>
      <c r="N1430" s="1" t="s">
        <v>3000</v>
      </c>
    </row>
    <row r="1431" spans="1:14" x14ac:dyDescent="0.25">
      <c r="A1431" t="s">
        <v>3035</v>
      </c>
      <c r="B1431" t="s">
        <v>2104</v>
      </c>
      <c r="C1431" t="s">
        <v>2103</v>
      </c>
      <c r="D1431" s="2">
        <v>4.1469668327209601E-2</v>
      </c>
      <c r="E1431" s="3">
        <v>1300224.5534017601</v>
      </c>
      <c r="H1431" t="s">
        <v>91</v>
      </c>
      <c r="I1431" t="s">
        <v>2280</v>
      </c>
      <c r="J1431" t="s">
        <v>456</v>
      </c>
      <c r="K1431">
        <v>14.03</v>
      </c>
      <c r="L1431">
        <v>2.504</v>
      </c>
      <c r="M1431" s="1">
        <v>100</v>
      </c>
      <c r="N1431" s="1" t="s">
        <v>3000</v>
      </c>
    </row>
    <row r="1432" spans="1:14" x14ac:dyDescent="0.25">
      <c r="A1432" t="s">
        <v>3045</v>
      </c>
      <c r="B1432" t="s">
        <v>2104</v>
      </c>
      <c r="C1432" t="s">
        <v>2103</v>
      </c>
      <c r="D1432" s="2">
        <v>2.9444098815386899E-2</v>
      </c>
      <c r="E1432" s="3">
        <v>3426612.2619861499</v>
      </c>
      <c r="H1432" t="s">
        <v>130</v>
      </c>
      <c r="I1432" t="s">
        <v>3233</v>
      </c>
      <c r="J1432" t="s">
        <v>3231</v>
      </c>
      <c r="K1432">
        <v>19.760000000000002</v>
      </c>
      <c r="L1432">
        <v>2.5049999999999999</v>
      </c>
      <c r="M1432" s="1">
        <v>100</v>
      </c>
      <c r="N1432" s="1" t="s">
        <v>3000</v>
      </c>
    </row>
    <row r="1433" spans="1:14" x14ac:dyDescent="0.25">
      <c r="A1433" t="s">
        <v>3052</v>
      </c>
      <c r="B1433" t="s">
        <v>2104</v>
      </c>
      <c r="C1433" t="s">
        <v>2103</v>
      </c>
      <c r="D1433" s="2">
        <v>2.95023185487856E-2</v>
      </c>
      <c r="E1433" s="3">
        <v>3342851.78631046</v>
      </c>
      <c r="H1433" t="s">
        <v>114</v>
      </c>
      <c r="I1433" t="s">
        <v>3256</v>
      </c>
      <c r="J1433" t="s">
        <v>3257</v>
      </c>
      <c r="K1433">
        <v>14.66</v>
      </c>
      <c r="L1433">
        <v>2.5419999999999998</v>
      </c>
      <c r="M1433" s="1">
        <v>100</v>
      </c>
      <c r="N1433" s="1" t="s">
        <v>3000</v>
      </c>
    </row>
    <row r="1434" spans="1:14" x14ac:dyDescent="0.25">
      <c r="A1434" t="s">
        <v>3063</v>
      </c>
      <c r="B1434" t="s">
        <v>2104</v>
      </c>
      <c r="C1434" t="s">
        <v>2103</v>
      </c>
      <c r="D1434" s="2">
        <v>2.69286683093263E-2</v>
      </c>
      <c r="E1434" s="3">
        <v>7412438.09387198</v>
      </c>
      <c r="H1434" t="s">
        <v>227</v>
      </c>
      <c r="I1434" t="s">
        <v>1529</v>
      </c>
      <c r="J1434" t="s">
        <v>3289</v>
      </c>
      <c r="K1434">
        <v>17.21</v>
      </c>
      <c r="L1434">
        <v>2.5099999999999998</v>
      </c>
      <c r="M1434" s="1">
        <v>100</v>
      </c>
      <c r="N1434" s="1" t="s">
        <v>3000</v>
      </c>
    </row>
    <row r="1435" spans="1:14" x14ac:dyDescent="0.25">
      <c r="A1435" t="s">
        <v>3074</v>
      </c>
      <c r="B1435" t="s">
        <v>2104</v>
      </c>
      <c r="C1435" t="s">
        <v>2103</v>
      </c>
      <c r="D1435" s="2">
        <v>2.6962950133799499E-2</v>
      </c>
      <c r="E1435" s="3">
        <v>7342768.4110438004</v>
      </c>
      <c r="H1435" t="s">
        <v>308</v>
      </c>
      <c r="I1435" t="s">
        <v>3322</v>
      </c>
      <c r="J1435" t="s">
        <v>3323</v>
      </c>
      <c r="K1435">
        <v>14.66</v>
      </c>
      <c r="L1435">
        <v>2.5590000000000002</v>
      </c>
      <c r="M1435" s="1">
        <v>100</v>
      </c>
      <c r="N1435" s="1" t="s">
        <v>3000</v>
      </c>
    </row>
    <row r="1436" spans="1:14" x14ac:dyDescent="0.25">
      <c r="A1436" t="s">
        <v>3085</v>
      </c>
      <c r="B1436" t="s">
        <v>2104</v>
      </c>
      <c r="C1436" t="s">
        <v>2103</v>
      </c>
      <c r="D1436" s="2">
        <v>3.9073049879422998E-2</v>
      </c>
      <c r="E1436" s="3">
        <v>1502524.6853308999</v>
      </c>
      <c r="H1436" t="s">
        <v>3352</v>
      </c>
      <c r="I1436" t="s">
        <v>3353</v>
      </c>
      <c r="J1436" t="s">
        <v>2845</v>
      </c>
      <c r="K1436">
        <v>17.850000000000001</v>
      </c>
      <c r="L1436">
        <v>2.625</v>
      </c>
      <c r="M1436" s="1">
        <v>100</v>
      </c>
      <c r="N1436" s="1" t="s">
        <v>3000</v>
      </c>
    </row>
    <row r="1437" spans="1:14" x14ac:dyDescent="0.25">
      <c r="A1437" t="s">
        <v>3010</v>
      </c>
      <c r="B1437" t="s">
        <v>2104</v>
      </c>
      <c r="C1437" t="s">
        <v>2103</v>
      </c>
      <c r="D1437" s="2">
        <v>5.7902278559696298E-2</v>
      </c>
      <c r="E1437" s="3">
        <v>577955.73772118799</v>
      </c>
      <c r="H1437" t="s">
        <v>358</v>
      </c>
      <c r="I1437" t="s">
        <v>3115</v>
      </c>
      <c r="J1437" t="s">
        <v>3116</v>
      </c>
      <c r="K1437">
        <v>14.66</v>
      </c>
      <c r="L1437">
        <v>2.6520000000000001</v>
      </c>
      <c r="M1437" s="1">
        <v>100</v>
      </c>
      <c r="N1437" s="1" t="s">
        <v>3000</v>
      </c>
    </row>
    <row r="1438" spans="1:14" x14ac:dyDescent="0.25">
      <c r="A1438" t="s">
        <v>3021</v>
      </c>
      <c r="B1438" t="s">
        <v>2104</v>
      </c>
      <c r="C1438" t="s">
        <v>2103</v>
      </c>
      <c r="D1438" s="2">
        <v>2.84942562999272E-2</v>
      </c>
      <c r="E1438" s="3">
        <v>3767808.9679276501</v>
      </c>
      <c r="H1438" t="s">
        <v>91</v>
      </c>
      <c r="I1438" t="s">
        <v>2922</v>
      </c>
      <c r="J1438" t="s">
        <v>2143</v>
      </c>
      <c r="K1438">
        <v>16.579999999999998</v>
      </c>
      <c r="L1438">
        <v>2.62</v>
      </c>
      <c r="M1438" s="1">
        <v>100</v>
      </c>
      <c r="N1438" s="1" t="s">
        <v>3000</v>
      </c>
    </row>
    <row r="1439" spans="1:14" x14ac:dyDescent="0.25">
      <c r="A1439" t="s">
        <v>3056</v>
      </c>
      <c r="B1439" t="s">
        <v>2104</v>
      </c>
      <c r="C1439" t="s">
        <v>2103</v>
      </c>
      <c r="D1439" s="2">
        <v>2.6935337875351201E-2</v>
      </c>
      <c r="E1439" s="3">
        <v>5622650.2116455603</v>
      </c>
      <c r="H1439" t="s">
        <v>324</v>
      </c>
      <c r="I1439" t="s">
        <v>1567</v>
      </c>
      <c r="J1439" t="s">
        <v>3269</v>
      </c>
      <c r="K1439">
        <v>19.760000000000002</v>
      </c>
      <c r="L1439">
        <v>2.5219999999999998</v>
      </c>
      <c r="M1439" s="1">
        <v>100</v>
      </c>
      <c r="N1439" s="1" t="s">
        <v>3000</v>
      </c>
    </row>
    <row r="1440" spans="1:14" x14ac:dyDescent="0.25">
      <c r="A1440" t="s">
        <v>3067</v>
      </c>
      <c r="B1440" t="s">
        <v>2104</v>
      </c>
      <c r="C1440" t="s">
        <v>2103</v>
      </c>
      <c r="D1440" s="2">
        <v>3.0972772934256099E-2</v>
      </c>
      <c r="E1440" s="3">
        <v>2748732.10408583</v>
      </c>
      <c r="H1440" t="s">
        <v>324</v>
      </c>
      <c r="I1440" t="s">
        <v>3303</v>
      </c>
      <c r="J1440" t="s">
        <v>1390</v>
      </c>
      <c r="K1440">
        <v>15.3</v>
      </c>
      <c r="L1440">
        <v>2.609</v>
      </c>
      <c r="M1440" s="1">
        <v>100</v>
      </c>
      <c r="N1440" s="1" t="s">
        <v>3000</v>
      </c>
    </row>
    <row r="1441" spans="1:14" x14ac:dyDescent="0.25">
      <c r="A1441" t="s">
        <v>3078</v>
      </c>
      <c r="B1441" t="s">
        <v>2104</v>
      </c>
      <c r="C1441" t="s">
        <v>2103</v>
      </c>
      <c r="D1441" s="2">
        <v>3.1750123222823501E-2</v>
      </c>
      <c r="E1441" s="3">
        <v>2558844.48471164</v>
      </c>
      <c r="H1441" t="s">
        <v>706</v>
      </c>
      <c r="I1441" t="s">
        <v>3334</v>
      </c>
      <c r="J1441" t="s">
        <v>3318</v>
      </c>
      <c r="K1441">
        <v>23.59</v>
      </c>
      <c r="L1441">
        <v>2.6320000000000001</v>
      </c>
      <c r="M1441" s="1">
        <v>100</v>
      </c>
      <c r="N1441" s="1" t="s">
        <v>3000</v>
      </c>
    </row>
    <row r="1442" spans="1:14" x14ac:dyDescent="0.25">
      <c r="A1442" t="s">
        <v>3004</v>
      </c>
      <c r="B1442" t="s">
        <v>2104</v>
      </c>
      <c r="C1442" t="s">
        <v>2103</v>
      </c>
      <c r="D1442" s="2">
        <v>3.0140022047487398E-2</v>
      </c>
      <c r="E1442" s="3">
        <v>3009720.7814498302</v>
      </c>
      <c r="H1442" t="s">
        <v>133</v>
      </c>
      <c r="I1442" t="s">
        <v>3099</v>
      </c>
      <c r="J1442" t="s">
        <v>3100</v>
      </c>
      <c r="K1442">
        <v>18.489999999999998</v>
      </c>
      <c r="L1442">
        <v>2.6219999999999999</v>
      </c>
      <c r="M1442" s="1">
        <v>100</v>
      </c>
      <c r="N1442" s="1" t="s">
        <v>3000</v>
      </c>
    </row>
    <row r="1443" spans="1:14" x14ac:dyDescent="0.25">
      <c r="A1443" t="s">
        <v>3026</v>
      </c>
      <c r="B1443" t="s">
        <v>2104</v>
      </c>
      <c r="C1443" t="s">
        <v>2103</v>
      </c>
      <c r="D1443" s="2">
        <v>2.7800215443648801E-2</v>
      </c>
      <c r="E1443" s="3">
        <v>4409954.5857890397</v>
      </c>
      <c r="H1443" t="s">
        <v>130</v>
      </c>
      <c r="I1443" t="s">
        <v>2854</v>
      </c>
      <c r="J1443" t="s">
        <v>3170</v>
      </c>
      <c r="K1443">
        <v>15.94</v>
      </c>
      <c r="L1443">
        <v>2.5219999999999998</v>
      </c>
      <c r="M1443" s="1">
        <v>100</v>
      </c>
      <c r="N1443" s="1" t="s">
        <v>3000</v>
      </c>
    </row>
    <row r="1444" spans="1:14" x14ac:dyDescent="0.25">
      <c r="A1444" t="s">
        <v>3036</v>
      </c>
      <c r="B1444" t="s">
        <v>2104</v>
      </c>
      <c r="C1444" t="s">
        <v>2103</v>
      </c>
      <c r="D1444" s="2">
        <v>2.6908747790552301E-2</v>
      </c>
      <c r="E1444" s="3">
        <v>6247510.7819626899</v>
      </c>
      <c r="H1444" t="s">
        <v>259</v>
      </c>
      <c r="I1444" t="s">
        <v>590</v>
      </c>
      <c r="J1444" t="s">
        <v>1576</v>
      </c>
      <c r="K1444">
        <v>14.66</v>
      </c>
      <c r="L1444">
        <v>2.468</v>
      </c>
      <c r="M1444" s="1">
        <v>100</v>
      </c>
      <c r="N1444" s="1" t="s">
        <v>3000</v>
      </c>
    </row>
    <row r="1445" spans="1:14" x14ac:dyDescent="0.25">
      <c r="A1445" t="s">
        <v>3046</v>
      </c>
      <c r="B1445" t="s">
        <v>2104</v>
      </c>
      <c r="C1445" t="s">
        <v>2103</v>
      </c>
      <c r="D1445" s="2">
        <v>3.6360286357696399E-2</v>
      </c>
      <c r="E1445" s="3">
        <v>1871848.6694803999</v>
      </c>
      <c r="H1445" t="s">
        <v>2473</v>
      </c>
      <c r="I1445" t="s">
        <v>2934</v>
      </c>
      <c r="J1445" t="s">
        <v>3236</v>
      </c>
      <c r="K1445">
        <v>18.489999999999998</v>
      </c>
      <c r="L1445">
        <v>2.4420000000000002</v>
      </c>
      <c r="M1445" s="1">
        <v>100</v>
      </c>
      <c r="N1445" s="1" t="s">
        <v>3000</v>
      </c>
    </row>
    <row r="1446" spans="1:14" x14ac:dyDescent="0.25">
      <c r="A1446" t="s">
        <v>3057</v>
      </c>
      <c r="B1446" t="s">
        <v>2104</v>
      </c>
      <c r="C1446" t="s">
        <v>2103</v>
      </c>
      <c r="D1446" s="2">
        <v>2.7657053201656599E-2</v>
      </c>
      <c r="E1446" s="3">
        <v>4572645.2241159501</v>
      </c>
      <c r="H1446" t="s">
        <v>222</v>
      </c>
      <c r="I1446" t="s">
        <v>3271</v>
      </c>
      <c r="J1446" t="s">
        <v>3272</v>
      </c>
      <c r="K1446">
        <v>14.66</v>
      </c>
      <c r="L1446">
        <v>2.488</v>
      </c>
      <c r="M1446" s="1">
        <v>100</v>
      </c>
      <c r="N1446" s="1" t="s">
        <v>3000</v>
      </c>
    </row>
    <row r="1447" spans="1:14" x14ac:dyDescent="0.25">
      <c r="A1447" t="s">
        <v>3068</v>
      </c>
      <c r="B1447" t="s">
        <v>2104</v>
      </c>
      <c r="C1447" t="s">
        <v>2103</v>
      </c>
      <c r="D1447" s="2">
        <v>2.7353798798175701E-2</v>
      </c>
      <c r="E1447" s="3">
        <v>4866354.5819745502</v>
      </c>
      <c r="H1447" t="s">
        <v>297</v>
      </c>
      <c r="I1447" t="s">
        <v>3305</v>
      </c>
      <c r="J1447" t="s">
        <v>3306</v>
      </c>
      <c r="K1447">
        <v>14.03</v>
      </c>
      <c r="L1447">
        <v>2.5169999999999999</v>
      </c>
      <c r="M1447" s="1">
        <v>100</v>
      </c>
      <c r="N1447" s="1" t="s">
        <v>3000</v>
      </c>
    </row>
    <row r="1448" spans="1:14" x14ac:dyDescent="0.25">
      <c r="A1448" t="s">
        <v>3079</v>
      </c>
      <c r="B1448" t="s">
        <v>2104</v>
      </c>
      <c r="C1448" t="s">
        <v>2103</v>
      </c>
      <c r="D1448" s="2">
        <v>3.08409885101372E-2</v>
      </c>
      <c r="E1448" s="3">
        <v>3025376.5018514199</v>
      </c>
      <c r="H1448" t="s">
        <v>1381</v>
      </c>
      <c r="I1448" t="s">
        <v>3337</v>
      </c>
      <c r="J1448" t="s">
        <v>3338</v>
      </c>
      <c r="K1448">
        <v>15.3</v>
      </c>
      <c r="L1448">
        <v>2.625</v>
      </c>
      <c r="M1448" s="1">
        <v>100</v>
      </c>
      <c r="N1448" s="1" t="s">
        <v>3000</v>
      </c>
    </row>
    <row r="1449" spans="1:14" x14ac:dyDescent="0.25">
      <c r="A1449" t="s">
        <v>3005</v>
      </c>
      <c r="B1449" t="s">
        <v>2104</v>
      </c>
      <c r="C1449" t="s">
        <v>2103</v>
      </c>
      <c r="D1449" s="2">
        <v>2.90410700283927E-2</v>
      </c>
      <c r="E1449" s="3">
        <v>9841097.9034577496</v>
      </c>
      <c r="H1449" t="s">
        <v>198</v>
      </c>
      <c r="I1449" t="s">
        <v>3102</v>
      </c>
      <c r="J1449" t="s">
        <v>3103</v>
      </c>
      <c r="K1449">
        <v>19.760000000000002</v>
      </c>
      <c r="L1449">
        <v>2.6349999999999998</v>
      </c>
      <c r="M1449" s="1">
        <v>100</v>
      </c>
      <c r="N1449" s="1" t="s">
        <v>3000</v>
      </c>
    </row>
    <row r="1450" spans="1:14" x14ac:dyDescent="0.25">
      <c r="A1450" t="s">
        <v>3015</v>
      </c>
      <c r="B1450" t="s">
        <v>2104</v>
      </c>
      <c r="C1450" t="s">
        <v>2103</v>
      </c>
      <c r="D1450" s="2">
        <v>2.88458656042909E-2</v>
      </c>
      <c r="E1450" s="3">
        <v>3669831.8707596501</v>
      </c>
      <c r="H1450" t="s">
        <v>284</v>
      </c>
      <c r="I1450" t="s">
        <v>3134</v>
      </c>
      <c r="J1450" t="s">
        <v>3135</v>
      </c>
      <c r="K1450">
        <v>18.489999999999998</v>
      </c>
      <c r="L1450">
        <v>2.5379999999999998</v>
      </c>
      <c r="M1450" s="1">
        <v>100</v>
      </c>
      <c r="N1450" s="1" t="s">
        <v>3000</v>
      </c>
    </row>
    <row r="1451" spans="1:14" x14ac:dyDescent="0.25">
      <c r="A1451" t="s">
        <v>3027</v>
      </c>
      <c r="B1451" t="s">
        <v>2104</v>
      </c>
      <c r="C1451" t="s">
        <v>2103</v>
      </c>
      <c r="D1451" s="2">
        <v>2.7813240714385502E-2</v>
      </c>
      <c r="E1451" s="3">
        <v>9119251.2817208301</v>
      </c>
      <c r="H1451" t="s">
        <v>324</v>
      </c>
      <c r="I1451" t="s">
        <v>2238</v>
      </c>
      <c r="J1451" t="s">
        <v>3172</v>
      </c>
      <c r="K1451">
        <v>18.489999999999998</v>
      </c>
      <c r="L1451">
        <v>2.4740000000000002</v>
      </c>
      <c r="M1451" s="1">
        <v>100</v>
      </c>
      <c r="N1451" s="1" t="s">
        <v>3000</v>
      </c>
    </row>
    <row r="1452" spans="1:14" x14ac:dyDescent="0.25">
      <c r="A1452" t="s">
        <v>3037</v>
      </c>
      <c r="B1452" t="s">
        <v>2104</v>
      </c>
      <c r="C1452" t="s">
        <v>2103</v>
      </c>
      <c r="D1452" s="2">
        <v>3.2573847127310797E-2</v>
      </c>
      <c r="E1452" s="3">
        <v>2493629.1567747798</v>
      </c>
      <c r="H1452" t="s">
        <v>98</v>
      </c>
      <c r="I1452" t="s">
        <v>2779</v>
      </c>
      <c r="J1452" t="s">
        <v>3206</v>
      </c>
      <c r="K1452">
        <v>17.850000000000001</v>
      </c>
      <c r="L1452">
        <v>2.4540000000000002</v>
      </c>
      <c r="M1452" s="1">
        <v>100</v>
      </c>
      <c r="N1452" s="1" t="s">
        <v>3000</v>
      </c>
    </row>
    <row r="1453" spans="1:14" x14ac:dyDescent="0.25">
      <c r="A1453" t="s">
        <v>3047</v>
      </c>
      <c r="B1453" t="s">
        <v>2104</v>
      </c>
      <c r="C1453" t="s">
        <v>2103</v>
      </c>
      <c r="D1453" s="2">
        <v>3.8697511176344103E-2</v>
      </c>
      <c r="E1453" s="3">
        <v>1617901.5498876299</v>
      </c>
      <c r="H1453" t="s">
        <v>1081</v>
      </c>
      <c r="I1453" t="s">
        <v>3238</v>
      </c>
      <c r="J1453" t="s">
        <v>3239</v>
      </c>
      <c r="K1453">
        <v>17.21</v>
      </c>
      <c r="L1453">
        <v>2.4119999999999999</v>
      </c>
      <c r="M1453" s="1">
        <v>100</v>
      </c>
      <c r="N1453" s="1" t="s">
        <v>3000</v>
      </c>
    </row>
    <row r="1454" spans="1:14" x14ac:dyDescent="0.25">
      <c r="A1454" t="s">
        <v>3058</v>
      </c>
      <c r="B1454" t="s">
        <v>2104</v>
      </c>
      <c r="C1454" t="s">
        <v>2103</v>
      </c>
      <c r="D1454" s="2">
        <v>2.77068212008733E-2</v>
      </c>
      <c r="E1454" s="3">
        <v>4582805.6914448002</v>
      </c>
      <c r="H1454" t="s">
        <v>56</v>
      </c>
      <c r="I1454" t="s">
        <v>3274</v>
      </c>
      <c r="J1454" t="s">
        <v>3275</v>
      </c>
      <c r="K1454">
        <v>12.11</v>
      </c>
      <c r="L1454">
        <v>2.4670000000000001</v>
      </c>
      <c r="M1454" s="1">
        <v>100</v>
      </c>
      <c r="N1454" s="1" t="s">
        <v>3000</v>
      </c>
    </row>
    <row r="1455" spans="1:14" x14ac:dyDescent="0.25">
      <c r="A1455" t="s">
        <v>3069</v>
      </c>
      <c r="B1455" t="s">
        <v>2104</v>
      </c>
      <c r="C1455" t="s">
        <v>2103</v>
      </c>
      <c r="D1455" s="2">
        <v>2.7346812397802601E-2</v>
      </c>
      <c r="E1455" s="3">
        <v>7161926.4900831496</v>
      </c>
      <c r="H1455" t="s">
        <v>2258</v>
      </c>
      <c r="I1455" t="s">
        <v>1282</v>
      </c>
      <c r="J1455" t="s">
        <v>3309</v>
      </c>
      <c r="K1455">
        <v>14.03</v>
      </c>
      <c r="L1455">
        <v>2.5379999999999998</v>
      </c>
      <c r="M1455" s="1">
        <v>100</v>
      </c>
      <c r="N1455" s="1" t="s">
        <v>3000</v>
      </c>
    </row>
    <row r="1456" spans="1:14" x14ac:dyDescent="0.25">
      <c r="A1456" t="s">
        <v>3080</v>
      </c>
      <c r="B1456" t="s">
        <v>2104</v>
      </c>
      <c r="C1456" t="s">
        <v>2103</v>
      </c>
      <c r="D1456" s="2">
        <v>2.8686965206081199E-2</v>
      </c>
      <c r="E1456" s="3">
        <v>3655791.2175245802</v>
      </c>
      <c r="H1456" t="s">
        <v>124</v>
      </c>
      <c r="I1456" t="s">
        <v>2133</v>
      </c>
      <c r="J1456" t="s">
        <v>2873</v>
      </c>
      <c r="K1456">
        <v>20.399999999999999</v>
      </c>
      <c r="L1456">
        <v>2.61</v>
      </c>
      <c r="M1456" s="1">
        <v>100</v>
      </c>
      <c r="N1456" s="1" t="s">
        <v>3000</v>
      </c>
    </row>
    <row r="1457" spans="1:14" x14ac:dyDescent="0.25">
      <c r="A1457" t="s">
        <v>3006</v>
      </c>
      <c r="B1457" t="s">
        <v>2104</v>
      </c>
      <c r="C1457" t="s">
        <v>2103</v>
      </c>
      <c r="D1457" s="2">
        <v>3.0376202309325001E-2</v>
      </c>
      <c r="E1457" s="3">
        <v>11068849.053791899</v>
      </c>
      <c r="H1457" t="s">
        <v>38</v>
      </c>
      <c r="I1457" t="s">
        <v>3106</v>
      </c>
      <c r="J1457" t="s">
        <v>3107</v>
      </c>
      <c r="K1457">
        <v>14.66</v>
      </c>
      <c r="L1457">
        <v>2.5979999999999999</v>
      </c>
      <c r="M1457" s="1">
        <v>100</v>
      </c>
      <c r="N1457" s="1" t="s">
        <v>3000</v>
      </c>
    </row>
    <row r="1458" spans="1:14" x14ac:dyDescent="0.25">
      <c r="A1458" t="s">
        <v>3016</v>
      </c>
      <c r="B1458" t="s">
        <v>2104</v>
      </c>
      <c r="C1458" t="s">
        <v>2103</v>
      </c>
      <c r="D1458" s="2">
        <v>3.6280650971664698E-2</v>
      </c>
      <c r="E1458" s="3">
        <v>1817080.20585908</v>
      </c>
      <c r="H1458" t="s">
        <v>381</v>
      </c>
      <c r="I1458" t="s">
        <v>3137</v>
      </c>
      <c r="J1458" t="s">
        <v>2574</v>
      </c>
      <c r="K1458">
        <v>12.75</v>
      </c>
      <c r="L1458">
        <v>2.516</v>
      </c>
      <c r="M1458" s="1">
        <v>100</v>
      </c>
      <c r="N1458" s="1" t="s">
        <v>3000</v>
      </c>
    </row>
    <row r="1459" spans="1:14" x14ac:dyDescent="0.25">
      <c r="A1459" t="s">
        <v>3028</v>
      </c>
      <c r="B1459" t="s">
        <v>2104</v>
      </c>
      <c r="C1459" t="s">
        <v>2103</v>
      </c>
      <c r="D1459" s="2">
        <v>2.7112899299528301E-2</v>
      </c>
      <c r="E1459" s="3">
        <v>5417815.6978368303</v>
      </c>
      <c r="H1459" t="s">
        <v>198</v>
      </c>
      <c r="I1459" t="s">
        <v>3175</v>
      </c>
      <c r="J1459" t="s">
        <v>1587</v>
      </c>
      <c r="K1459">
        <v>19.760000000000002</v>
      </c>
      <c r="L1459">
        <v>2.4319999999999999</v>
      </c>
      <c r="M1459" s="1">
        <v>100</v>
      </c>
      <c r="N1459" s="1" t="s">
        <v>3000</v>
      </c>
    </row>
    <row r="1460" spans="1:14" x14ac:dyDescent="0.25">
      <c r="A1460" t="s">
        <v>3038</v>
      </c>
      <c r="B1460" t="s">
        <v>2104</v>
      </c>
      <c r="C1460" t="s">
        <v>2103</v>
      </c>
      <c r="D1460" s="2">
        <v>3.0080094787554301E-2</v>
      </c>
      <c r="E1460" s="3">
        <v>3245553.32044918</v>
      </c>
      <c r="H1460" t="s">
        <v>38</v>
      </c>
      <c r="I1460" t="s">
        <v>143</v>
      </c>
      <c r="J1460" t="s">
        <v>3209</v>
      </c>
      <c r="K1460">
        <v>13.39</v>
      </c>
      <c r="L1460">
        <v>2.4329999999999998</v>
      </c>
      <c r="M1460" s="1">
        <v>100</v>
      </c>
      <c r="N1460" s="1" t="s">
        <v>3000</v>
      </c>
    </row>
    <row r="1461" spans="1:14" x14ac:dyDescent="0.25">
      <c r="A1461" t="s">
        <v>3048</v>
      </c>
      <c r="B1461" t="s">
        <v>2104</v>
      </c>
      <c r="C1461" t="s">
        <v>2103</v>
      </c>
      <c r="D1461" s="2">
        <v>2.7936722584810302E-2</v>
      </c>
      <c r="E1461" s="3">
        <v>4433718.4141560597</v>
      </c>
      <c r="H1461" t="s">
        <v>67</v>
      </c>
      <c r="I1461" t="s">
        <v>16</v>
      </c>
      <c r="J1461" t="s">
        <v>2328</v>
      </c>
      <c r="K1461">
        <v>18.489999999999998</v>
      </c>
      <c r="L1461">
        <v>2.4300000000000002</v>
      </c>
      <c r="M1461" s="1">
        <v>100</v>
      </c>
      <c r="N1461" s="1" t="s">
        <v>3000</v>
      </c>
    </row>
    <row r="1462" spans="1:14" x14ac:dyDescent="0.25">
      <c r="A1462" t="s">
        <v>3059</v>
      </c>
      <c r="B1462" t="s">
        <v>2104</v>
      </c>
      <c r="C1462" t="s">
        <v>2103</v>
      </c>
      <c r="D1462" s="2">
        <v>4.42775257685342E-2</v>
      </c>
      <c r="E1462" s="3">
        <v>1142360.9655681299</v>
      </c>
      <c r="H1462" t="s">
        <v>42</v>
      </c>
      <c r="I1462" t="s">
        <v>3277</v>
      </c>
      <c r="J1462" t="s">
        <v>2945</v>
      </c>
      <c r="K1462">
        <v>14.03</v>
      </c>
      <c r="L1462">
        <v>2.4580000000000002</v>
      </c>
      <c r="M1462" s="1">
        <v>100</v>
      </c>
      <c r="N1462" s="1" t="s">
        <v>3000</v>
      </c>
    </row>
    <row r="1463" spans="1:14" x14ac:dyDescent="0.25">
      <c r="A1463" t="s">
        <v>3070</v>
      </c>
      <c r="B1463" t="s">
        <v>2104</v>
      </c>
      <c r="C1463" t="s">
        <v>2103</v>
      </c>
      <c r="D1463" s="2">
        <v>2.7891477464292401E-2</v>
      </c>
      <c r="E1463" s="3">
        <v>9114371.2154397797</v>
      </c>
      <c r="H1463" t="s">
        <v>130</v>
      </c>
      <c r="I1463" t="s">
        <v>3311</v>
      </c>
      <c r="J1463" t="s">
        <v>2050</v>
      </c>
      <c r="K1463">
        <v>14.66</v>
      </c>
      <c r="L1463">
        <v>2.5009999999999999</v>
      </c>
      <c r="M1463" s="1">
        <v>100</v>
      </c>
      <c r="N1463" s="1" t="s">
        <v>3000</v>
      </c>
    </row>
    <row r="1464" spans="1:14" x14ac:dyDescent="0.25">
      <c r="A1464" t="s">
        <v>3081</v>
      </c>
      <c r="B1464" t="s">
        <v>2104</v>
      </c>
      <c r="C1464" t="s">
        <v>2103</v>
      </c>
      <c r="D1464" s="2">
        <v>2.6872523039051601E-2</v>
      </c>
      <c r="E1464" s="3">
        <v>6779643.6271794401</v>
      </c>
      <c r="H1464" t="s">
        <v>150</v>
      </c>
      <c r="I1464" t="s">
        <v>3341</v>
      </c>
      <c r="J1464" t="s">
        <v>3342</v>
      </c>
      <c r="K1464">
        <v>13.39</v>
      </c>
      <c r="L1464">
        <v>2.6139999999999999</v>
      </c>
      <c r="M1464" s="1">
        <v>100</v>
      </c>
      <c r="N1464" s="1" t="s">
        <v>3000</v>
      </c>
    </row>
    <row r="1465" spans="1:14" x14ac:dyDescent="0.25">
      <c r="A1465" t="s">
        <v>3007</v>
      </c>
      <c r="B1465" t="s">
        <v>2104</v>
      </c>
      <c r="C1465" t="s">
        <v>2103</v>
      </c>
      <c r="D1465" s="2">
        <v>3.2935406746075001E-2</v>
      </c>
      <c r="E1465" s="3">
        <v>2254289.5131624299</v>
      </c>
      <c r="H1465" t="s">
        <v>130</v>
      </c>
      <c r="I1465" t="s">
        <v>3110</v>
      </c>
      <c r="J1465" t="s">
        <v>3111</v>
      </c>
      <c r="K1465">
        <v>15.3</v>
      </c>
      <c r="L1465">
        <v>2.6320000000000001</v>
      </c>
      <c r="M1465" s="1">
        <v>100</v>
      </c>
      <c r="N1465" s="1" t="s">
        <v>3000</v>
      </c>
    </row>
    <row r="1466" spans="1:14" x14ac:dyDescent="0.25">
      <c r="A1466" t="s">
        <v>1609</v>
      </c>
      <c r="B1466" t="s">
        <v>2105</v>
      </c>
      <c r="C1466" t="s">
        <v>3362</v>
      </c>
      <c r="D1466" s="2" t="s">
        <v>20</v>
      </c>
      <c r="E1466" s="3">
        <v>0</v>
      </c>
      <c r="F1466" s="3">
        <f>E1466/6</f>
        <v>0</v>
      </c>
      <c r="G1466" s="3">
        <f t="shared" ref="G1466:G1497" si="18">F1466/2</f>
        <v>0</v>
      </c>
      <c r="H1466" t="s">
        <v>207</v>
      </c>
      <c r="I1466" t="s">
        <v>201</v>
      </c>
      <c r="J1466" t="s">
        <v>207</v>
      </c>
      <c r="K1466">
        <v>11.73</v>
      </c>
      <c r="L1466">
        <v>2.5289999999999999</v>
      </c>
      <c r="M1466" s="1" t="s">
        <v>20</v>
      </c>
      <c r="N1466" s="1" t="s">
        <v>3000</v>
      </c>
    </row>
    <row r="1467" spans="1:14" x14ac:dyDescent="0.25">
      <c r="A1467" t="s">
        <v>2102</v>
      </c>
      <c r="B1467" t="s">
        <v>2105</v>
      </c>
      <c r="C1467" t="s">
        <v>3362</v>
      </c>
      <c r="D1467" s="2" t="s">
        <v>20</v>
      </c>
      <c r="E1467" s="3">
        <v>0</v>
      </c>
      <c r="F1467" s="3">
        <f>E1467/6</f>
        <v>0</v>
      </c>
      <c r="G1467" s="3">
        <f t="shared" si="18"/>
        <v>0</v>
      </c>
      <c r="H1467" t="s">
        <v>71</v>
      </c>
      <c r="I1467" t="s">
        <v>201</v>
      </c>
      <c r="J1467" t="s">
        <v>71</v>
      </c>
      <c r="K1467">
        <v>9.18</v>
      </c>
      <c r="L1467">
        <v>2.5920000000000001</v>
      </c>
      <c r="M1467" s="1" t="s">
        <v>20</v>
      </c>
      <c r="N1467" s="1" t="s">
        <v>3000</v>
      </c>
    </row>
    <row r="1468" spans="1:14" x14ac:dyDescent="0.25">
      <c r="A1468" t="s">
        <v>3361</v>
      </c>
      <c r="B1468" t="s">
        <v>2105</v>
      </c>
      <c r="C1468" t="s">
        <v>3362</v>
      </c>
      <c r="D1468" s="2">
        <v>4.4738384970040103E-2</v>
      </c>
      <c r="E1468" s="3">
        <v>10532533.215786001</v>
      </c>
      <c r="F1468" s="3">
        <f>E1468/6</f>
        <v>1755422.2026310002</v>
      </c>
      <c r="G1468" s="3">
        <f t="shared" si="18"/>
        <v>877711.1013155001</v>
      </c>
      <c r="H1468" t="s">
        <v>598</v>
      </c>
      <c r="I1468" t="s">
        <v>260</v>
      </c>
      <c r="J1468" t="s">
        <v>214</v>
      </c>
      <c r="K1468">
        <v>14.03</v>
      </c>
      <c r="L1468">
        <v>2.6019999999999999</v>
      </c>
      <c r="M1468" s="1">
        <v>1000</v>
      </c>
      <c r="N1468" s="1" t="s">
        <v>3000</v>
      </c>
    </row>
    <row r="1469" spans="1:14" x14ac:dyDescent="0.25">
      <c r="A1469" t="s">
        <v>3357</v>
      </c>
      <c r="B1469" t="s">
        <v>2105</v>
      </c>
      <c r="C1469" t="s">
        <v>3362</v>
      </c>
      <c r="D1469" s="2" t="s">
        <v>20</v>
      </c>
      <c r="E1469" s="3">
        <v>0</v>
      </c>
      <c r="F1469" s="3">
        <f>E1469/6</f>
        <v>0</v>
      </c>
      <c r="G1469" s="3">
        <f t="shared" si="18"/>
        <v>0</v>
      </c>
      <c r="H1469" t="s">
        <v>98</v>
      </c>
      <c r="I1469" t="s">
        <v>201</v>
      </c>
      <c r="J1469" t="s">
        <v>98</v>
      </c>
      <c r="K1469">
        <v>7.91</v>
      </c>
      <c r="L1469">
        <v>2.5910000000000002</v>
      </c>
      <c r="M1469" s="1">
        <v>1000</v>
      </c>
      <c r="N1469" s="1" t="s">
        <v>3000</v>
      </c>
    </row>
    <row r="1470" spans="1:14" x14ac:dyDescent="0.25">
      <c r="A1470" t="s">
        <v>3356</v>
      </c>
      <c r="B1470" t="s">
        <v>2105</v>
      </c>
      <c r="C1470" t="s">
        <v>3362</v>
      </c>
      <c r="D1470" s="2">
        <v>3.2421636682582598E-2</v>
      </c>
      <c r="E1470" s="3">
        <v>23975000.801465001</v>
      </c>
      <c r="F1470" s="3">
        <f>E1470/6</f>
        <v>3995833.4669108335</v>
      </c>
      <c r="G1470" s="3">
        <f t="shared" si="18"/>
        <v>1997916.7334554167</v>
      </c>
      <c r="H1470" t="s">
        <v>347</v>
      </c>
      <c r="I1470" t="s">
        <v>3226</v>
      </c>
      <c r="J1470" t="s">
        <v>3227</v>
      </c>
      <c r="K1470">
        <v>9.56</v>
      </c>
      <c r="L1470">
        <v>2.5960000000000001</v>
      </c>
      <c r="M1470" s="1">
        <v>1000</v>
      </c>
      <c r="N1470" s="1" t="s">
        <v>3000</v>
      </c>
    </row>
    <row r="1471" spans="1:14" x14ac:dyDescent="0.25">
      <c r="A1471" t="s">
        <v>10</v>
      </c>
      <c r="B1471" t="s">
        <v>2105</v>
      </c>
      <c r="C1471" t="s">
        <v>3362</v>
      </c>
      <c r="D1471" s="2" t="s">
        <v>20</v>
      </c>
      <c r="E1471" s="3" t="s">
        <v>20</v>
      </c>
      <c r="G1471" s="3">
        <f t="shared" si="18"/>
        <v>0</v>
      </c>
      <c r="H1471" t="s">
        <v>91</v>
      </c>
      <c r="I1471" t="s">
        <v>201</v>
      </c>
      <c r="J1471" t="s">
        <v>91</v>
      </c>
      <c r="K1471">
        <v>6.63</v>
      </c>
      <c r="L1471">
        <v>2.645</v>
      </c>
      <c r="M1471" s="1" t="s">
        <v>20</v>
      </c>
      <c r="N1471" s="1" t="s">
        <v>3000</v>
      </c>
    </row>
    <row r="1472" spans="1:14" x14ac:dyDescent="0.25">
      <c r="A1472" t="s">
        <v>3001</v>
      </c>
      <c r="B1472" t="s">
        <v>2105</v>
      </c>
      <c r="C1472" t="s">
        <v>3362</v>
      </c>
      <c r="D1472" s="2">
        <v>3.2969025208272801E-2</v>
      </c>
      <c r="E1472" s="3">
        <v>2229316.8795367498</v>
      </c>
      <c r="F1472" s="3">
        <f t="shared" ref="F1472:F1503" si="19">E1472/6</f>
        <v>371552.81325612497</v>
      </c>
      <c r="G1472" s="3">
        <f t="shared" si="18"/>
        <v>185776.40662806248</v>
      </c>
      <c r="H1472" t="s">
        <v>76</v>
      </c>
      <c r="I1472" t="s">
        <v>3087</v>
      </c>
      <c r="J1472" t="s">
        <v>3088</v>
      </c>
      <c r="K1472">
        <v>15.3</v>
      </c>
      <c r="L1472">
        <v>2.6539999999999999</v>
      </c>
      <c r="M1472" s="1">
        <v>100</v>
      </c>
      <c r="N1472" s="1" t="s">
        <v>3000</v>
      </c>
    </row>
    <row r="1473" spans="1:14" x14ac:dyDescent="0.25">
      <c r="A1473" t="s">
        <v>3017</v>
      </c>
      <c r="B1473" t="s">
        <v>2105</v>
      </c>
      <c r="C1473" t="s">
        <v>3362</v>
      </c>
      <c r="D1473" s="2">
        <v>2.8006940270328799E-2</v>
      </c>
      <c r="E1473" s="3">
        <v>9067845.2045420893</v>
      </c>
      <c r="F1473" s="3">
        <f t="shared" si="19"/>
        <v>1511307.5340903483</v>
      </c>
      <c r="G1473" s="3">
        <f t="shared" si="18"/>
        <v>755653.76704517414</v>
      </c>
      <c r="H1473" t="s">
        <v>38</v>
      </c>
      <c r="I1473" t="s">
        <v>3142</v>
      </c>
      <c r="J1473" t="s">
        <v>3143</v>
      </c>
      <c r="K1473">
        <v>12.11</v>
      </c>
      <c r="L1473">
        <v>2.5659999999999998</v>
      </c>
      <c r="M1473" s="1">
        <v>100</v>
      </c>
      <c r="N1473" s="1" t="s">
        <v>3000</v>
      </c>
    </row>
    <row r="1474" spans="1:14" x14ac:dyDescent="0.25">
      <c r="A1474" t="s">
        <v>3029</v>
      </c>
      <c r="B1474" t="s">
        <v>2105</v>
      </c>
      <c r="C1474" t="s">
        <v>3362</v>
      </c>
      <c r="D1474" s="2">
        <v>2.9458936421392901E-2</v>
      </c>
      <c r="E1474" s="3">
        <v>10893263.0273393</v>
      </c>
      <c r="F1474" s="3">
        <f t="shared" si="19"/>
        <v>1815543.8378898834</v>
      </c>
      <c r="G1474" s="3">
        <f t="shared" si="18"/>
        <v>907771.91894494172</v>
      </c>
      <c r="H1474" t="s">
        <v>232</v>
      </c>
      <c r="I1474" t="s">
        <v>1463</v>
      </c>
      <c r="J1474" t="s">
        <v>3180</v>
      </c>
      <c r="K1474">
        <v>10.84</v>
      </c>
      <c r="L1474">
        <v>2.4660000000000002</v>
      </c>
      <c r="M1474" s="1">
        <v>100</v>
      </c>
      <c r="N1474" s="1" t="s">
        <v>3000</v>
      </c>
    </row>
    <row r="1475" spans="1:14" x14ac:dyDescent="0.25">
      <c r="A1475" t="s">
        <v>3039</v>
      </c>
      <c r="B1475" t="s">
        <v>2105</v>
      </c>
      <c r="C1475" t="s">
        <v>3362</v>
      </c>
      <c r="D1475" s="2">
        <v>2.9659981971466499E-2</v>
      </c>
      <c r="E1475" s="3">
        <v>3354339.4939677599</v>
      </c>
      <c r="F1475" s="3">
        <f t="shared" si="19"/>
        <v>559056.58232795994</v>
      </c>
      <c r="G1475" s="3">
        <f t="shared" si="18"/>
        <v>279528.29116397997</v>
      </c>
      <c r="H1475" t="s">
        <v>114</v>
      </c>
      <c r="I1475" t="s">
        <v>1592</v>
      </c>
      <c r="J1475" t="s">
        <v>3213</v>
      </c>
      <c r="K1475">
        <v>13.39</v>
      </c>
      <c r="L1475">
        <v>2.4830000000000001</v>
      </c>
      <c r="M1475" s="1">
        <v>100</v>
      </c>
      <c r="N1475" s="1" t="s">
        <v>3000</v>
      </c>
    </row>
    <row r="1476" spans="1:14" x14ac:dyDescent="0.25">
      <c r="A1476" t="s">
        <v>3049</v>
      </c>
      <c r="B1476" t="s">
        <v>2105</v>
      </c>
      <c r="C1476" t="s">
        <v>3362</v>
      </c>
      <c r="D1476" s="2">
        <v>2.7271552835886798E-2</v>
      </c>
      <c r="E1476" s="3">
        <v>5141693.8907542899</v>
      </c>
      <c r="F1476" s="3">
        <f t="shared" si="19"/>
        <v>856948.98179238162</v>
      </c>
      <c r="G1476" s="3">
        <f t="shared" si="18"/>
        <v>428474.49089619081</v>
      </c>
      <c r="H1476" t="s">
        <v>130</v>
      </c>
      <c r="I1476" t="s">
        <v>3246</v>
      </c>
      <c r="J1476" t="s">
        <v>3247</v>
      </c>
      <c r="K1476">
        <v>10.199999999999999</v>
      </c>
      <c r="L1476">
        <v>2.4489999999999998</v>
      </c>
      <c r="M1476" s="1">
        <v>100</v>
      </c>
      <c r="N1476" s="1" t="s">
        <v>3000</v>
      </c>
    </row>
    <row r="1477" spans="1:14" x14ac:dyDescent="0.25">
      <c r="A1477" t="s">
        <v>3060</v>
      </c>
      <c r="B1477" t="s">
        <v>2105</v>
      </c>
      <c r="C1477" t="s">
        <v>3362</v>
      </c>
      <c r="D1477" s="2">
        <v>3.6797220978975503E-2</v>
      </c>
      <c r="E1477" s="3">
        <v>15319205.8176424</v>
      </c>
      <c r="F1477" s="3">
        <f t="shared" si="19"/>
        <v>2553200.9696070668</v>
      </c>
      <c r="G1477" s="3">
        <f t="shared" si="18"/>
        <v>1276600.4848035334</v>
      </c>
      <c r="H1477" t="s">
        <v>347</v>
      </c>
      <c r="I1477" t="s">
        <v>3282</v>
      </c>
      <c r="J1477" t="s">
        <v>3283</v>
      </c>
      <c r="K1477">
        <v>12.11</v>
      </c>
      <c r="L1477">
        <v>2.464</v>
      </c>
      <c r="M1477" s="1">
        <v>100</v>
      </c>
      <c r="N1477" s="1" t="s">
        <v>3000</v>
      </c>
    </row>
    <row r="1478" spans="1:14" x14ac:dyDescent="0.25">
      <c r="A1478" t="s">
        <v>3071</v>
      </c>
      <c r="B1478" t="s">
        <v>2105</v>
      </c>
      <c r="C1478" t="s">
        <v>3362</v>
      </c>
      <c r="D1478" s="2">
        <v>2.70001181953184E-2</v>
      </c>
      <c r="E1478" s="3">
        <v>7595927.0577900298</v>
      </c>
      <c r="F1478" s="3">
        <f t="shared" si="19"/>
        <v>1265987.842965005</v>
      </c>
      <c r="G1478" s="3">
        <f t="shared" si="18"/>
        <v>632993.92148250248</v>
      </c>
      <c r="H1478" t="s">
        <v>240</v>
      </c>
      <c r="I1478" t="s">
        <v>592</v>
      </c>
      <c r="J1478" t="s">
        <v>3314</v>
      </c>
      <c r="K1478">
        <v>14.03</v>
      </c>
      <c r="L1478">
        <v>2.5150000000000001</v>
      </c>
      <c r="M1478" s="1">
        <v>100</v>
      </c>
      <c r="N1478" s="1" t="s">
        <v>3000</v>
      </c>
    </row>
    <row r="1479" spans="1:14" x14ac:dyDescent="0.25">
      <c r="A1479" t="s">
        <v>3082</v>
      </c>
      <c r="B1479" t="s">
        <v>2105</v>
      </c>
      <c r="C1479" t="s">
        <v>3362</v>
      </c>
      <c r="D1479" s="2">
        <v>2.7053274778350098E-2</v>
      </c>
      <c r="E1479" s="3">
        <v>5135156.4136061398</v>
      </c>
      <c r="F1479" s="3">
        <f t="shared" si="19"/>
        <v>855859.40226768993</v>
      </c>
      <c r="G1479" s="3">
        <f t="shared" si="18"/>
        <v>427929.70113384497</v>
      </c>
      <c r="H1479" t="s">
        <v>284</v>
      </c>
      <c r="I1479" t="s">
        <v>3344</v>
      </c>
      <c r="J1479" t="s">
        <v>51</v>
      </c>
      <c r="K1479">
        <v>9.56</v>
      </c>
      <c r="L1479">
        <v>2.6269999999999998</v>
      </c>
      <c r="M1479" s="1">
        <v>100</v>
      </c>
      <c r="N1479" s="1" t="s">
        <v>3000</v>
      </c>
    </row>
    <row r="1480" spans="1:14" x14ac:dyDescent="0.25">
      <c r="A1480" t="s">
        <v>3018</v>
      </c>
      <c r="B1480" t="s">
        <v>2105</v>
      </c>
      <c r="C1480" t="s">
        <v>3362</v>
      </c>
      <c r="D1480" s="2">
        <v>2.8210640117463999E-2</v>
      </c>
      <c r="E1480" s="3">
        <v>4044045.0908533698</v>
      </c>
      <c r="F1480" s="3">
        <f t="shared" si="19"/>
        <v>674007.51514222834</v>
      </c>
      <c r="G1480" s="3">
        <f t="shared" si="18"/>
        <v>337003.75757111417</v>
      </c>
      <c r="H1480" t="s">
        <v>27</v>
      </c>
      <c r="I1480" t="s">
        <v>3146</v>
      </c>
      <c r="J1480" t="s">
        <v>3147</v>
      </c>
      <c r="K1480">
        <v>13.39</v>
      </c>
      <c r="L1480">
        <v>2.5379999999999998</v>
      </c>
      <c r="M1480" s="1">
        <v>100</v>
      </c>
      <c r="N1480" s="1" t="s">
        <v>3000</v>
      </c>
    </row>
    <row r="1481" spans="1:14" x14ac:dyDescent="0.25">
      <c r="A1481" t="s">
        <v>3030</v>
      </c>
      <c r="B1481" t="s">
        <v>2105</v>
      </c>
      <c r="C1481" t="s">
        <v>3362</v>
      </c>
      <c r="D1481" s="2">
        <v>2.7758902375791601E-2</v>
      </c>
      <c r="E1481" s="3">
        <v>9077000.0772051197</v>
      </c>
      <c r="F1481" s="3">
        <f t="shared" si="19"/>
        <v>1512833.3462008534</v>
      </c>
      <c r="G1481" s="3">
        <f t="shared" si="18"/>
        <v>756416.67310042668</v>
      </c>
      <c r="H1481" t="s">
        <v>207</v>
      </c>
      <c r="I1481" t="s">
        <v>502</v>
      </c>
      <c r="J1481" t="s">
        <v>3183</v>
      </c>
      <c r="K1481">
        <v>10.84</v>
      </c>
      <c r="L1481">
        <v>2.4660000000000002</v>
      </c>
      <c r="M1481" s="1">
        <v>100</v>
      </c>
      <c r="N1481" s="1" t="s">
        <v>3000</v>
      </c>
    </row>
    <row r="1482" spans="1:14" x14ac:dyDescent="0.25">
      <c r="A1482" t="s">
        <v>3040</v>
      </c>
      <c r="B1482" t="s">
        <v>2105</v>
      </c>
      <c r="C1482" t="s">
        <v>3362</v>
      </c>
      <c r="D1482" s="2">
        <v>2.7931774901210099E-2</v>
      </c>
      <c r="E1482" s="3">
        <v>9259787.5667436402</v>
      </c>
      <c r="F1482" s="3">
        <f t="shared" si="19"/>
        <v>1543297.9277906066</v>
      </c>
      <c r="G1482" s="3">
        <f t="shared" si="18"/>
        <v>771648.96389530331</v>
      </c>
      <c r="H1482" t="s">
        <v>114</v>
      </c>
      <c r="I1482" t="s">
        <v>3216</v>
      </c>
      <c r="J1482" t="s">
        <v>3217</v>
      </c>
      <c r="K1482">
        <v>13.39</v>
      </c>
      <c r="L1482">
        <v>2.4820000000000002</v>
      </c>
      <c r="M1482" s="1">
        <v>100</v>
      </c>
      <c r="N1482" s="1" t="s">
        <v>3000</v>
      </c>
    </row>
    <row r="1483" spans="1:14" x14ac:dyDescent="0.25">
      <c r="A1483" t="s">
        <v>3050</v>
      </c>
      <c r="B1483" t="s">
        <v>2105</v>
      </c>
      <c r="C1483" t="s">
        <v>3362</v>
      </c>
      <c r="D1483" s="2">
        <v>2.9782540938171401E-2</v>
      </c>
      <c r="E1483" s="3">
        <v>11077299.5015918</v>
      </c>
      <c r="F1483" s="3">
        <f t="shared" si="19"/>
        <v>1846216.5835986333</v>
      </c>
      <c r="G1483" s="3">
        <f t="shared" si="18"/>
        <v>923108.29179931665</v>
      </c>
      <c r="H1483" t="s">
        <v>150</v>
      </c>
      <c r="I1483" t="s">
        <v>3250</v>
      </c>
      <c r="J1483" t="s">
        <v>3251</v>
      </c>
      <c r="K1483">
        <v>11.48</v>
      </c>
      <c r="L1483">
        <v>2.4830000000000001</v>
      </c>
      <c r="M1483" s="1">
        <v>100</v>
      </c>
      <c r="N1483" s="1" t="s">
        <v>3000</v>
      </c>
    </row>
    <row r="1484" spans="1:14" x14ac:dyDescent="0.25">
      <c r="A1484" t="s">
        <v>3061</v>
      </c>
      <c r="B1484" t="s">
        <v>2105</v>
      </c>
      <c r="C1484" t="s">
        <v>3362</v>
      </c>
      <c r="D1484" s="2">
        <v>2.7222875468669101E-2</v>
      </c>
      <c r="E1484" s="3">
        <v>8279794.0979205901</v>
      </c>
      <c r="F1484" s="3">
        <f t="shared" si="19"/>
        <v>1379965.6829867649</v>
      </c>
      <c r="G1484" s="3">
        <f t="shared" si="18"/>
        <v>689982.84149338247</v>
      </c>
      <c r="H1484" t="s">
        <v>347</v>
      </c>
      <c r="I1484" t="s">
        <v>3286</v>
      </c>
      <c r="J1484" t="s">
        <v>3287</v>
      </c>
      <c r="K1484">
        <v>13.39</v>
      </c>
      <c r="L1484">
        <v>2.4329999999999998</v>
      </c>
      <c r="M1484" s="1">
        <v>100</v>
      </c>
      <c r="N1484" s="1" t="s">
        <v>3000</v>
      </c>
    </row>
    <row r="1485" spans="1:14" x14ac:dyDescent="0.25">
      <c r="A1485" t="s">
        <v>3072</v>
      </c>
      <c r="B1485" t="s">
        <v>2105</v>
      </c>
      <c r="C1485" t="s">
        <v>3362</v>
      </c>
      <c r="D1485" s="2">
        <v>3.14246343780724E-2</v>
      </c>
      <c r="E1485" s="3">
        <v>2736051.3296610601</v>
      </c>
      <c r="F1485" s="3">
        <f t="shared" si="19"/>
        <v>456008.55494351004</v>
      </c>
      <c r="G1485" s="3">
        <f t="shared" si="18"/>
        <v>228004.27747175502</v>
      </c>
      <c r="H1485" t="s">
        <v>324</v>
      </c>
      <c r="I1485" t="s">
        <v>3317</v>
      </c>
      <c r="J1485" t="s">
        <v>3318</v>
      </c>
      <c r="K1485">
        <v>9.56</v>
      </c>
      <c r="L1485">
        <v>2.5009999999999999</v>
      </c>
      <c r="M1485" s="1">
        <v>100</v>
      </c>
      <c r="N1485" s="1" t="s">
        <v>3000</v>
      </c>
    </row>
    <row r="1486" spans="1:14" x14ac:dyDescent="0.25">
      <c r="A1486" t="s">
        <v>3083</v>
      </c>
      <c r="B1486" t="s">
        <v>2105</v>
      </c>
      <c r="C1486" t="s">
        <v>3362</v>
      </c>
      <c r="D1486" s="2">
        <v>3.0824613260437499E-2</v>
      </c>
      <c r="E1486" s="3">
        <v>2745980.6633167998</v>
      </c>
      <c r="F1486" s="3">
        <f t="shared" si="19"/>
        <v>457663.44388613332</v>
      </c>
      <c r="G1486" s="3">
        <f t="shared" si="18"/>
        <v>228831.72194306666</v>
      </c>
      <c r="H1486" t="s">
        <v>124</v>
      </c>
      <c r="I1486" t="s">
        <v>3346</v>
      </c>
      <c r="J1486" t="s">
        <v>3347</v>
      </c>
      <c r="K1486">
        <v>10.84</v>
      </c>
      <c r="L1486">
        <v>2.6549999999999998</v>
      </c>
      <c r="M1486" s="1">
        <v>100</v>
      </c>
      <c r="N1486" s="1" t="s">
        <v>3000</v>
      </c>
    </row>
    <row r="1487" spans="1:14" x14ac:dyDescent="0.25">
      <c r="A1487" t="s">
        <v>3019</v>
      </c>
      <c r="B1487" t="s">
        <v>2105</v>
      </c>
      <c r="C1487" t="s">
        <v>3362</v>
      </c>
      <c r="D1487" s="2">
        <v>2.7634271510216E-2</v>
      </c>
      <c r="E1487" s="3">
        <v>4523534.6019211197</v>
      </c>
      <c r="F1487" s="3">
        <f t="shared" si="19"/>
        <v>753922.43365351995</v>
      </c>
      <c r="G1487" s="3">
        <f t="shared" si="18"/>
        <v>376961.21682675998</v>
      </c>
      <c r="H1487" t="s">
        <v>207</v>
      </c>
      <c r="I1487" t="s">
        <v>3149</v>
      </c>
      <c r="J1487" t="s">
        <v>3150</v>
      </c>
      <c r="K1487">
        <v>12.75</v>
      </c>
      <c r="L1487">
        <v>2.5409999999999999</v>
      </c>
      <c r="M1487" s="1">
        <v>100</v>
      </c>
      <c r="N1487" s="1" t="s">
        <v>3000</v>
      </c>
    </row>
    <row r="1488" spans="1:14" x14ac:dyDescent="0.25">
      <c r="A1488" t="s">
        <v>3031</v>
      </c>
      <c r="B1488" t="s">
        <v>2105</v>
      </c>
      <c r="C1488" t="s">
        <v>3362</v>
      </c>
      <c r="D1488" s="2">
        <v>2.7153759432857801E-2</v>
      </c>
      <c r="E1488" s="3">
        <v>5148701.7845518999</v>
      </c>
      <c r="F1488" s="3">
        <f t="shared" si="19"/>
        <v>858116.96409198327</v>
      </c>
      <c r="G1488" s="3">
        <f t="shared" si="18"/>
        <v>429058.48204599164</v>
      </c>
      <c r="H1488" t="s">
        <v>324</v>
      </c>
      <c r="I1488" t="s">
        <v>3186</v>
      </c>
      <c r="J1488" t="s">
        <v>3187</v>
      </c>
      <c r="K1488">
        <v>14.03</v>
      </c>
      <c r="L1488">
        <v>2.5289999999999999</v>
      </c>
      <c r="M1488" s="1">
        <v>100</v>
      </c>
      <c r="N1488" s="1" t="s">
        <v>3000</v>
      </c>
    </row>
    <row r="1489" spans="1:14" x14ac:dyDescent="0.25">
      <c r="A1489" t="s">
        <v>3041</v>
      </c>
      <c r="B1489" t="s">
        <v>2105</v>
      </c>
      <c r="C1489" t="s">
        <v>3362</v>
      </c>
      <c r="D1489" s="2">
        <v>2.6797083001573799E-2</v>
      </c>
      <c r="E1489" s="3">
        <v>6915838.6172013097</v>
      </c>
      <c r="F1489" s="3">
        <f t="shared" si="19"/>
        <v>1152639.7695335515</v>
      </c>
      <c r="G1489" s="3">
        <f t="shared" si="18"/>
        <v>576319.88476677577</v>
      </c>
      <c r="H1489" t="s">
        <v>516</v>
      </c>
      <c r="I1489" t="s">
        <v>3220</v>
      </c>
      <c r="J1489" t="s">
        <v>3221</v>
      </c>
      <c r="K1489">
        <v>15.3</v>
      </c>
      <c r="L1489">
        <v>2.4729999999999999</v>
      </c>
      <c r="M1489" s="1">
        <v>100</v>
      </c>
      <c r="N1489" s="1" t="s">
        <v>3000</v>
      </c>
    </row>
    <row r="1490" spans="1:14" x14ac:dyDescent="0.25">
      <c r="A1490" t="s">
        <v>3051</v>
      </c>
      <c r="B1490" t="s">
        <v>2105</v>
      </c>
      <c r="C1490" t="s">
        <v>3362</v>
      </c>
      <c r="D1490" s="2">
        <v>2.70072708953881E-2</v>
      </c>
      <c r="E1490" s="3">
        <v>5538931.5413502296</v>
      </c>
      <c r="F1490" s="3">
        <f t="shared" si="19"/>
        <v>923155.25689170498</v>
      </c>
      <c r="G1490" s="3">
        <f t="shared" si="18"/>
        <v>461577.62844585249</v>
      </c>
      <c r="H1490" t="s">
        <v>232</v>
      </c>
      <c r="I1490" t="s">
        <v>3254</v>
      </c>
      <c r="J1490" t="s">
        <v>3255</v>
      </c>
      <c r="K1490">
        <v>15.94</v>
      </c>
      <c r="L1490">
        <v>2.4750000000000001</v>
      </c>
      <c r="M1490" s="1">
        <v>100</v>
      </c>
      <c r="N1490" s="1" t="s">
        <v>3000</v>
      </c>
    </row>
    <row r="1491" spans="1:14" x14ac:dyDescent="0.25">
      <c r="A1491" t="s">
        <v>3062</v>
      </c>
      <c r="B1491" t="s">
        <v>2105</v>
      </c>
      <c r="C1491" t="s">
        <v>3362</v>
      </c>
      <c r="D1491" s="2">
        <v>2.91697951588238E-2</v>
      </c>
      <c r="E1491" s="3">
        <v>10578751.150879299</v>
      </c>
      <c r="F1491" s="3">
        <f t="shared" si="19"/>
        <v>1763125.1918132165</v>
      </c>
      <c r="G1491" s="3">
        <f t="shared" si="18"/>
        <v>881562.59590660827</v>
      </c>
      <c r="H1491" t="s">
        <v>162</v>
      </c>
      <c r="I1491" t="s">
        <v>1499</v>
      </c>
      <c r="J1491" t="s">
        <v>2331</v>
      </c>
      <c r="K1491">
        <v>10.199999999999999</v>
      </c>
      <c r="L1491">
        <v>2.48</v>
      </c>
      <c r="M1491" s="1">
        <v>100</v>
      </c>
      <c r="N1491" s="1" t="s">
        <v>3000</v>
      </c>
    </row>
    <row r="1492" spans="1:14" x14ac:dyDescent="0.25">
      <c r="A1492" t="s">
        <v>3073</v>
      </c>
      <c r="B1492" t="s">
        <v>2105</v>
      </c>
      <c r="C1492" t="s">
        <v>3362</v>
      </c>
      <c r="D1492" s="2">
        <v>2.6775226008314099E-2</v>
      </c>
      <c r="E1492" s="3">
        <v>6238364.1599174896</v>
      </c>
      <c r="F1492" s="3">
        <f t="shared" si="19"/>
        <v>1039727.3599862483</v>
      </c>
      <c r="G1492" s="3">
        <f t="shared" si="18"/>
        <v>519863.67999312415</v>
      </c>
      <c r="H1492" t="s">
        <v>222</v>
      </c>
      <c r="I1492" t="s">
        <v>3321</v>
      </c>
      <c r="J1492" t="s">
        <v>462</v>
      </c>
      <c r="K1492">
        <v>15.3</v>
      </c>
      <c r="L1492">
        <v>2.54</v>
      </c>
      <c r="M1492" s="1">
        <v>100</v>
      </c>
      <c r="N1492" s="1" t="s">
        <v>3000</v>
      </c>
    </row>
    <row r="1493" spans="1:14" x14ac:dyDescent="0.25">
      <c r="A1493" t="s">
        <v>3084</v>
      </c>
      <c r="B1493" t="s">
        <v>2105</v>
      </c>
      <c r="C1493" t="s">
        <v>3362</v>
      </c>
      <c r="D1493" s="2">
        <v>2.80147056704644E-2</v>
      </c>
      <c r="E1493" s="3">
        <v>7707460.4712084103</v>
      </c>
      <c r="F1493" s="3">
        <f t="shared" si="19"/>
        <v>1284576.7452014016</v>
      </c>
      <c r="G1493" s="3">
        <f t="shared" si="18"/>
        <v>642288.37260070082</v>
      </c>
      <c r="H1493" t="s">
        <v>3349</v>
      </c>
      <c r="I1493" t="s">
        <v>3350</v>
      </c>
      <c r="J1493" t="s">
        <v>3351</v>
      </c>
      <c r="K1493">
        <v>11.48</v>
      </c>
      <c r="L1493">
        <v>2.621</v>
      </c>
      <c r="M1493" s="1">
        <v>100</v>
      </c>
      <c r="N1493" s="1" t="s">
        <v>3000</v>
      </c>
    </row>
    <row r="1494" spans="1:14" x14ac:dyDescent="0.25">
      <c r="A1494" t="s">
        <v>3009</v>
      </c>
      <c r="B1494" t="s">
        <v>2105</v>
      </c>
      <c r="C1494" t="s">
        <v>3362</v>
      </c>
      <c r="D1494" s="2">
        <v>3.8045747839766303E-2</v>
      </c>
      <c r="E1494" s="3">
        <v>1560346.8535708501</v>
      </c>
      <c r="F1494" s="3">
        <f t="shared" si="19"/>
        <v>260057.80892847502</v>
      </c>
      <c r="G1494" s="3">
        <f t="shared" si="18"/>
        <v>130028.90446423751</v>
      </c>
      <c r="H1494" t="s">
        <v>750</v>
      </c>
      <c r="I1494" t="s">
        <v>3114</v>
      </c>
      <c r="J1494" t="s">
        <v>3113</v>
      </c>
      <c r="K1494">
        <v>14.66</v>
      </c>
      <c r="L1494">
        <v>2.6219999999999999</v>
      </c>
      <c r="M1494" s="1">
        <v>100</v>
      </c>
      <c r="N1494" s="1" t="s">
        <v>3000</v>
      </c>
    </row>
    <row r="1495" spans="1:14" x14ac:dyDescent="0.25">
      <c r="A1495" t="s">
        <v>3020</v>
      </c>
      <c r="B1495" t="s">
        <v>2105</v>
      </c>
      <c r="C1495" t="s">
        <v>3362</v>
      </c>
      <c r="D1495" s="2">
        <v>3.1687455915742103E-2</v>
      </c>
      <c r="E1495" s="3">
        <v>12049709.252036801</v>
      </c>
      <c r="F1495" s="3">
        <f t="shared" si="19"/>
        <v>2008284.8753394668</v>
      </c>
      <c r="G1495" s="3">
        <f t="shared" si="18"/>
        <v>1004142.4376697334</v>
      </c>
      <c r="H1495" t="s">
        <v>227</v>
      </c>
      <c r="I1495" t="s">
        <v>3153</v>
      </c>
      <c r="J1495" t="s">
        <v>3154</v>
      </c>
      <c r="K1495">
        <v>11.48</v>
      </c>
      <c r="L1495">
        <v>2.5750000000000002</v>
      </c>
      <c r="M1495" s="1">
        <v>100</v>
      </c>
      <c r="N1495" s="1" t="s">
        <v>3000</v>
      </c>
    </row>
    <row r="1496" spans="1:14" x14ac:dyDescent="0.25">
      <c r="A1496" t="s">
        <v>3032</v>
      </c>
      <c r="B1496" t="s">
        <v>2105</v>
      </c>
      <c r="C1496" t="s">
        <v>3362</v>
      </c>
      <c r="D1496" s="2">
        <v>2.7791469642355401E-2</v>
      </c>
      <c r="E1496" s="3">
        <v>4365231.8894529203</v>
      </c>
      <c r="F1496" s="3">
        <f t="shared" si="19"/>
        <v>727538.64824215334</v>
      </c>
      <c r="G1496" s="3">
        <f t="shared" si="18"/>
        <v>363769.32412107667</v>
      </c>
      <c r="H1496" t="s">
        <v>297</v>
      </c>
      <c r="I1496" t="s">
        <v>2927</v>
      </c>
      <c r="J1496" t="s">
        <v>3190</v>
      </c>
      <c r="K1496">
        <v>10.84</v>
      </c>
      <c r="L1496">
        <v>2.5419999999999998</v>
      </c>
      <c r="M1496" s="1">
        <v>100</v>
      </c>
      <c r="N1496" s="1" t="s">
        <v>3000</v>
      </c>
    </row>
    <row r="1497" spans="1:14" x14ac:dyDescent="0.25">
      <c r="A1497" t="s">
        <v>3042</v>
      </c>
      <c r="B1497" t="s">
        <v>2105</v>
      </c>
      <c r="C1497" t="s">
        <v>3362</v>
      </c>
      <c r="D1497" s="2">
        <v>2.7101602473381999E-2</v>
      </c>
      <c r="E1497" s="3">
        <v>5273557.5382768596</v>
      </c>
      <c r="F1497" s="3">
        <f t="shared" si="19"/>
        <v>878926.25637947663</v>
      </c>
      <c r="G1497" s="3">
        <f t="shared" si="18"/>
        <v>439463.12818973832</v>
      </c>
      <c r="H1497" t="s">
        <v>294</v>
      </c>
      <c r="I1497" t="s">
        <v>3224</v>
      </c>
      <c r="J1497" t="s">
        <v>3225</v>
      </c>
      <c r="K1497">
        <v>9.56</v>
      </c>
      <c r="L1497">
        <v>2.4969999999999999</v>
      </c>
      <c r="M1497" s="1">
        <v>100</v>
      </c>
      <c r="N1497" s="1" t="s">
        <v>3000</v>
      </c>
    </row>
    <row r="1498" spans="1:14" x14ac:dyDescent="0.25">
      <c r="A1498" t="s">
        <v>3011</v>
      </c>
      <c r="B1498" t="s">
        <v>2105</v>
      </c>
      <c r="C1498" t="s">
        <v>3362</v>
      </c>
      <c r="D1498" s="2">
        <v>5.2242138899425E-2</v>
      </c>
      <c r="E1498" s="3">
        <v>731117.26158935705</v>
      </c>
      <c r="F1498" s="3">
        <f t="shared" si="19"/>
        <v>121852.87693155951</v>
      </c>
      <c r="G1498" s="3">
        <f t="shared" ref="G1498:G1529" si="20">F1498/2</f>
        <v>60926.438465779756</v>
      </c>
      <c r="H1498" t="s">
        <v>3120</v>
      </c>
      <c r="I1498" t="s">
        <v>585</v>
      </c>
      <c r="J1498" t="s">
        <v>3121</v>
      </c>
      <c r="K1498">
        <v>12.11</v>
      </c>
      <c r="L1498">
        <v>2.6989999999999998</v>
      </c>
      <c r="M1498" s="1">
        <v>100</v>
      </c>
      <c r="N1498" s="1" t="s">
        <v>3000</v>
      </c>
    </row>
    <row r="1499" spans="1:14" x14ac:dyDescent="0.25">
      <c r="A1499" t="s">
        <v>3022</v>
      </c>
      <c r="B1499" t="s">
        <v>2105</v>
      </c>
      <c r="C1499" t="s">
        <v>3362</v>
      </c>
      <c r="D1499" s="2">
        <v>3.2251418841952602E-2</v>
      </c>
      <c r="E1499" s="3">
        <v>2338742.5386918499</v>
      </c>
      <c r="F1499" s="3">
        <f t="shared" si="19"/>
        <v>389790.42311530834</v>
      </c>
      <c r="G1499" s="3">
        <f t="shared" si="20"/>
        <v>194895.21155765417</v>
      </c>
      <c r="H1499" t="s">
        <v>98</v>
      </c>
      <c r="I1499" t="s">
        <v>3100</v>
      </c>
      <c r="J1499" t="s">
        <v>2054</v>
      </c>
      <c r="K1499">
        <v>15.94</v>
      </c>
      <c r="L1499">
        <v>2.6960000000000002</v>
      </c>
      <c r="M1499" s="1">
        <v>100</v>
      </c>
      <c r="N1499" s="1" t="s">
        <v>3000</v>
      </c>
    </row>
    <row r="1500" spans="1:14" x14ac:dyDescent="0.25">
      <c r="A1500" t="s">
        <v>3033</v>
      </c>
      <c r="B1500" t="s">
        <v>2105</v>
      </c>
      <c r="C1500" t="s">
        <v>3362</v>
      </c>
      <c r="D1500" s="2">
        <v>3.0339357153577801E-2</v>
      </c>
      <c r="E1500" s="3">
        <v>2881289.0809396198</v>
      </c>
      <c r="F1500" s="3">
        <f t="shared" si="19"/>
        <v>480214.84682326997</v>
      </c>
      <c r="G1500" s="3">
        <f t="shared" si="20"/>
        <v>240107.42341163498</v>
      </c>
      <c r="H1500" t="s">
        <v>893</v>
      </c>
      <c r="I1500" t="s">
        <v>3195</v>
      </c>
      <c r="J1500" t="s">
        <v>2939</v>
      </c>
      <c r="K1500">
        <v>13.39</v>
      </c>
      <c r="L1500">
        <v>2.67</v>
      </c>
      <c r="M1500" s="1">
        <v>100</v>
      </c>
      <c r="N1500" s="1" t="s">
        <v>3000</v>
      </c>
    </row>
    <row r="1501" spans="1:14" x14ac:dyDescent="0.25">
      <c r="A1501" t="s">
        <v>3043</v>
      </c>
      <c r="B1501" t="s">
        <v>2105</v>
      </c>
      <c r="C1501" t="s">
        <v>3362</v>
      </c>
      <c r="D1501" s="2">
        <v>4.9096571724307897E-2</v>
      </c>
      <c r="E1501" s="3">
        <v>819221.60256730998</v>
      </c>
      <c r="F1501" s="3">
        <f t="shared" si="19"/>
        <v>136536.93376121833</v>
      </c>
      <c r="G1501" s="3">
        <f t="shared" si="20"/>
        <v>68268.466880609165</v>
      </c>
      <c r="H1501" t="s">
        <v>381</v>
      </c>
      <c r="I1501" t="s">
        <v>3229</v>
      </c>
      <c r="J1501" t="s">
        <v>3121</v>
      </c>
      <c r="K1501">
        <v>14.66</v>
      </c>
      <c r="L1501">
        <v>2.6970000000000001</v>
      </c>
      <c r="M1501" s="1">
        <v>100</v>
      </c>
      <c r="N1501" s="1" t="s">
        <v>3000</v>
      </c>
    </row>
    <row r="1502" spans="1:14" x14ac:dyDescent="0.25">
      <c r="A1502" t="s">
        <v>3053</v>
      </c>
      <c r="B1502" t="s">
        <v>2105</v>
      </c>
      <c r="C1502" t="s">
        <v>3362</v>
      </c>
      <c r="D1502" s="2">
        <v>3.0556233953615099E-2</v>
      </c>
      <c r="E1502" s="3">
        <v>2795081.0107153598</v>
      </c>
      <c r="F1502" s="3">
        <f t="shared" si="19"/>
        <v>465846.83511922666</v>
      </c>
      <c r="G1502" s="3">
        <f t="shared" si="20"/>
        <v>232923.41755961333</v>
      </c>
      <c r="H1502" t="s">
        <v>198</v>
      </c>
      <c r="I1502" t="s">
        <v>2889</v>
      </c>
      <c r="J1502" t="s">
        <v>3262</v>
      </c>
      <c r="K1502">
        <v>14.66</v>
      </c>
      <c r="L1502">
        <v>2.6829999999999998</v>
      </c>
      <c r="M1502" s="1">
        <v>100</v>
      </c>
      <c r="N1502" s="1" t="s">
        <v>3000</v>
      </c>
    </row>
    <row r="1503" spans="1:14" x14ac:dyDescent="0.25">
      <c r="A1503" t="s">
        <v>3064</v>
      </c>
      <c r="B1503" t="s">
        <v>2105</v>
      </c>
      <c r="C1503" t="s">
        <v>3362</v>
      </c>
      <c r="D1503" s="2">
        <v>3.7789164050374198E-2</v>
      </c>
      <c r="E1503" s="3">
        <v>1542287.7134068599</v>
      </c>
      <c r="F1503" s="3">
        <f t="shared" si="19"/>
        <v>257047.95223447666</v>
      </c>
      <c r="G1503" s="3">
        <f t="shared" si="20"/>
        <v>128523.97611723833</v>
      </c>
      <c r="H1503" t="s">
        <v>1153</v>
      </c>
      <c r="I1503" t="s">
        <v>3294</v>
      </c>
      <c r="J1503" t="s">
        <v>3295</v>
      </c>
      <c r="K1503">
        <v>12.75</v>
      </c>
      <c r="L1503">
        <v>2.7010000000000001</v>
      </c>
      <c r="M1503" s="1">
        <v>100</v>
      </c>
      <c r="N1503" s="1" t="s">
        <v>3000</v>
      </c>
    </row>
    <row r="1504" spans="1:14" x14ac:dyDescent="0.25">
      <c r="A1504" t="s">
        <v>3075</v>
      </c>
      <c r="B1504" t="s">
        <v>2105</v>
      </c>
      <c r="C1504" t="s">
        <v>3362</v>
      </c>
      <c r="D1504" s="2">
        <v>2.99938384422519E-2</v>
      </c>
      <c r="E1504" s="3">
        <v>2963281.74799215</v>
      </c>
      <c r="F1504" s="3">
        <f t="shared" ref="F1504:F1535" si="21">E1504/6</f>
        <v>493880.29133202502</v>
      </c>
      <c r="G1504" s="3">
        <f t="shared" si="20"/>
        <v>246940.14566601251</v>
      </c>
      <c r="H1504" t="s">
        <v>347</v>
      </c>
      <c r="I1504" t="s">
        <v>3326</v>
      </c>
      <c r="J1504" t="s">
        <v>3327</v>
      </c>
      <c r="K1504">
        <v>14.66</v>
      </c>
      <c r="L1504">
        <v>2.7080000000000002</v>
      </c>
      <c r="M1504" s="1">
        <v>100</v>
      </c>
      <c r="N1504" s="1" t="s">
        <v>3000</v>
      </c>
    </row>
    <row r="1505" spans="1:14" x14ac:dyDescent="0.25">
      <c r="A1505" t="s">
        <v>3669</v>
      </c>
      <c r="B1505" t="s">
        <v>2105</v>
      </c>
      <c r="C1505" t="s">
        <v>3362</v>
      </c>
      <c r="D1505" s="2">
        <v>2.7615960544073202E-2</v>
      </c>
      <c r="E1505" s="3">
        <v>4369339.4818636896</v>
      </c>
      <c r="F1505" s="3">
        <f t="shared" si="21"/>
        <v>728223.24697728164</v>
      </c>
      <c r="G1505" s="3">
        <f t="shared" si="20"/>
        <v>364111.62348864082</v>
      </c>
      <c r="H1505" t="s">
        <v>150</v>
      </c>
      <c r="I1505" t="s">
        <v>3090</v>
      </c>
      <c r="J1505" t="s">
        <v>3091</v>
      </c>
      <c r="K1505">
        <v>16.579999999999998</v>
      </c>
      <c r="L1505">
        <v>2.65</v>
      </c>
      <c r="M1505" s="1">
        <v>100</v>
      </c>
      <c r="N1505" s="1" t="s">
        <v>3000</v>
      </c>
    </row>
    <row r="1506" spans="1:14" x14ac:dyDescent="0.25">
      <c r="A1506" t="s">
        <v>3012</v>
      </c>
      <c r="B1506" t="s">
        <v>2105</v>
      </c>
      <c r="C1506" t="s">
        <v>3362</v>
      </c>
      <c r="D1506" s="2">
        <v>5.2497370729280998E-2</v>
      </c>
      <c r="E1506" s="3">
        <v>720294.94377170305</v>
      </c>
      <c r="F1506" s="3">
        <f t="shared" si="21"/>
        <v>120049.15729528385</v>
      </c>
      <c r="G1506" s="3">
        <f t="shared" si="20"/>
        <v>60024.578647641923</v>
      </c>
      <c r="H1506" t="s">
        <v>479</v>
      </c>
      <c r="I1506" t="s">
        <v>3123</v>
      </c>
      <c r="J1506" t="s">
        <v>3124</v>
      </c>
      <c r="K1506">
        <v>13.39</v>
      </c>
      <c r="L1506">
        <v>2.6440000000000001</v>
      </c>
      <c r="M1506" s="1">
        <v>100</v>
      </c>
      <c r="N1506" s="1" t="s">
        <v>3000</v>
      </c>
    </row>
    <row r="1507" spans="1:14" x14ac:dyDescent="0.25">
      <c r="A1507" t="s">
        <v>3023</v>
      </c>
      <c r="B1507" t="s">
        <v>2105</v>
      </c>
      <c r="C1507" t="s">
        <v>3362</v>
      </c>
      <c r="D1507" s="2">
        <v>2.7196415783006599E-2</v>
      </c>
      <c r="E1507" s="3">
        <v>4883341.0198274804</v>
      </c>
      <c r="F1507" s="3">
        <f t="shared" si="21"/>
        <v>813890.16997124674</v>
      </c>
      <c r="G1507" s="3">
        <f t="shared" si="20"/>
        <v>406945.08498562337</v>
      </c>
      <c r="H1507" t="s">
        <v>27</v>
      </c>
      <c r="I1507" t="s">
        <v>3161</v>
      </c>
      <c r="J1507" t="s">
        <v>686</v>
      </c>
      <c r="K1507">
        <v>10.84</v>
      </c>
      <c r="L1507">
        <v>2.6179999999999999</v>
      </c>
      <c r="M1507" s="1">
        <v>100</v>
      </c>
      <c r="N1507" s="1" t="s">
        <v>3000</v>
      </c>
    </row>
    <row r="1508" spans="1:14" x14ac:dyDescent="0.25">
      <c r="A1508" t="s">
        <v>3034</v>
      </c>
      <c r="B1508" t="s">
        <v>2105</v>
      </c>
      <c r="C1508" t="s">
        <v>3362</v>
      </c>
      <c r="D1508" s="2">
        <v>4.2385473189491103E-2</v>
      </c>
      <c r="E1508" s="3">
        <v>1202856.1309558901</v>
      </c>
      <c r="F1508" s="3">
        <f t="shared" si="21"/>
        <v>200476.02182598168</v>
      </c>
      <c r="G1508" s="3">
        <f t="shared" si="20"/>
        <v>100238.01091299084</v>
      </c>
      <c r="H1508" t="s">
        <v>984</v>
      </c>
      <c r="I1508" t="s">
        <v>3198</v>
      </c>
      <c r="J1508" t="s">
        <v>3199</v>
      </c>
      <c r="K1508">
        <v>11.48</v>
      </c>
      <c r="L1508">
        <v>2.5790000000000002</v>
      </c>
      <c r="M1508" s="1">
        <v>100</v>
      </c>
      <c r="N1508" s="1" t="s">
        <v>3000</v>
      </c>
    </row>
    <row r="1509" spans="1:14" x14ac:dyDescent="0.25">
      <c r="A1509" t="s">
        <v>3054</v>
      </c>
      <c r="B1509" t="s">
        <v>2105</v>
      </c>
      <c r="C1509" t="s">
        <v>3362</v>
      </c>
      <c r="D1509" s="2">
        <v>3.6221519596799798E-2</v>
      </c>
      <c r="E1509" s="3">
        <v>1777681.1293896199</v>
      </c>
      <c r="F1509" s="3">
        <f t="shared" si="21"/>
        <v>296280.1882316033</v>
      </c>
      <c r="G1509" s="3">
        <f t="shared" si="20"/>
        <v>148140.09411580165</v>
      </c>
      <c r="H1509" t="s">
        <v>223</v>
      </c>
      <c r="I1509" t="s">
        <v>3264</v>
      </c>
      <c r="J1509" t="s">
        <v>3265</v>
      </c>
      <c r="K1509">
        <v>14.66</v>
      </c>
      <c r="L1509">
        <v>2.605</v>
      </c>
      <c r="M1509" s="1">
        <v>100</v>
      </c>
      <c r="N1509" s="1" t="s">
        <v>3000</v>
      </c>
    </row>
    <row r="1510" spans="1:14" x14ac:dyDescent="0.25">
      <c r="A1510" t="s">
        <v>3065</v>
      </c>
      <c r="B1510" t="s">
        <v>2105</v>
      </c>
      <c r="C1510" t="s">
        <v>3362</v>
      </c>
      <c r="D1510" s="2">
        <v>3.2496893581956503E-2</v>
      </c>
      <c r="E1510" s="3">
        <v>2355526.5401710598</v>
      </c>
      <c r="F1510" s="3">
        <f t="shared" si="21"/>
        <v>392587.75669517665</v>
      </c>
      <c r="G1510" s="3">
        <f t="shared" si="20"/>
        <v>196293.87834758832</v>
      </c>
      <c r="H1510" t="s">
        <v>516</v>
      </c>
      <c r="I1510" t="s">
        <v>3297</v>
      </c>
      <c r="J1510" t="s">
        <v>3298</v>
      </c>
      <c r="K1510">
        <v>12.11</v>
      </c>
      <c r="L1510">
        <v>2.613</v>
      </c>
      <c r="M1510" s="1">
        <v>100</v>
      </c>
      <c r="N1510" s="1" t="s">
        <v>3000</v>
      </c>
    </row>
    <row r="1511" spans="1:14" x14ac:dyDescent="0.25">
      <c r="A1511" t="s">
        <v>3076</v>
      </c>
      <c r="B1511" t="s">
        <v>2105</v>
      </c>
      <c r="C1511" t="s">
        <v>3362</v>
      </c>
      <c r="D1511" s="2">
        <v>3.2898521896237001E-2</v>
      </c>
      <c r="E1511" s="3">
        <v>2205515.8657599399</v>
      </c>
      <c r="F1511" s="3">
        <f t="shared" si="21"/>
        <v>367585.97762665665</v>
      </c>
      <c r="G1511" s="3">
        <f t="shared" si="20"/>
        <v>183792.98881332832</v>
      </c>
      <c r="H1511" t="s">
        <v>150</v>
      </c>
      <c r="I1511" t="s">
        <v>3330</v>
      </c>
      <c r="J1511" t="s">
        <v>3331</v>
      </c>
      <c r="K1511">
        <v>12.11</v>
      </c>
      <c r="L1511">
        <v>2.7010000000000001</v>
      </c>
      <c r="M1511" s="1">
        <v>100</v>
      </c>
      <c r="N1511" s="1" t="s">
        <v>3000</v>
      </c>
    </row>
    <row r="1512" spans="1:14" x14ac:dyDescent="0.25">
      <c r="A1512" t="s">
        <v>3002</v>
      </c>
      <c r="B1512" t="s">
        <v>2105</v>
      </c>
      <c r="C1512" t="s">
        <v>3362</v>
      </c>
      <c r="D1512" s="2">
        <v>2.8736055352951002E-2</v>
      </c>
      <c r="E1512" s="3">
        <v>3550414.9935238799</v>
      </c>
      <c r="F1512" s="3">
        <f t="shared" si="21"/>
        <v>591735.83225397998</v>
      </c>
      <c r="G1512" s="3">
        <f t="shared" si="20"/>
        <v>295867.91612698999</v>
      </c>
      <c r="H1512" t="s">
        <v>294</v>
      </c>
      <c r="I1512" t="s">
        <v>3093</v>
      </c>
      <c r="J1512" t="s">
        <v>3094</v>
      </c>
      <c r="K1512">
        <v>14.66</v>
      </c>
      <c r="L1512">
        <v>2.6579999999999999</v>
      </c>
      <c r="M1512" s="1">
        <v>100</v>
      </c>
      <c r="N1512" s="1" t="s">
        <v>3000</v>
      </c>
    </row>
    <row r="1513" spans="1:14" x14ac:dyDescent="0.25">
      <c r="A1513" t="s">
        <v>3013</v>
      </c>
      <c r="B1513" t="s">
        <v>2105</v>
      </c>
      <c r="C1513" t="s">
        <v>3362</v>
      </c>
      <c r="D1513" s="2">
        <v>3.0109328789979E-2</v>
      </c>
      <c r="E1513" s="3">
        <v>3023003.9511759402</v>
      </c>
      <c r="F1513" s="3">
        <f t="shared" si="21"/>
        <v>503833.99186265672</v>
      </c>
      <c r="G1513" s="3">
        <f t="shared" si="20"/>
        <v>251916.99593132836</v>
      </c>
      <c r="H1513" t="s">
        <v>17</v>
      </c>
      <c r="I1513" t="s">
        <v>3127</v>
      </c>
      <c r="J1513" t="s">
        <v>3128</v>
      </c>
      <c r="K1513">
        <v>10.84</v>
      </c>
      <c r="L1513">
        <v>2.6160000000000001</v>
      </c>
      <c r="M1513" s="1">
        <v>100</v>
      </c>
      <c r="N1513" s="1" t="s">
        <v>3000</v>
      </c>
    </row>
    <row r="1514" spans="1:14" x14ac:dyDescent="0.25">
      <c r="A1514" t="s">
        <v>3024</v>
      </c>
      <c r="B1514" t="s">
        <v>2105</v>
      </c>
      <c r="C1514" t="s">
        <v>3362</v>
      </c>
      <c r="D1514" s="2">
        <v>2.7842536227747301E-2</v>
      </c>
      <c r="E1514" s="3">
        <v>4415278.5931896297</v>
      </c>
      <c r="F1514" s="3">
        <f t="shared" si="21"/>
        <v>735879.76553160499</v>
      </c>
      <c r="G1514" s="3">
        <f t="shared" si="20"/>
        <v>367939.8827658025</v>
      </c>
      <c r="H1514" t="s">
        <v>198</v>
      </c>
      <c r="I1514" t="s">
        <v>3164</v>
      </c>
      <c r="J1514" t="s">
        <v>3165</v>
      </c>
      <c r="K1514">
        <v>13.39</v>
      </c>
      <c r="L1514">
        <v>2.492</v>
      </c>
      <c r="M1514" s="1">
        <v>100</v>
      </c>
      <c r="N1514" s="1" t="s">
        <v>3000</v>
      </c>
    </row>
    <row r="1515" spans="1:14" x14ac:dyDescent="0.25">
      <c r="A1515" t="s">
        <v>1850</v>
      </c>
      <c r="B1515" t="s">
        <v>2105</v>
      </c>
      <c r="C1515" t="s">
        <v>3362</v>
      </c>
      <c r="D1515" s="2">
        <v>6.1747328924528201E-2</v>
      </c>
      <c r="E1515" s="3">
        <v>518437.09695124801</v>
      </c>
      <c r="F1515" s="3">
        <f t="shared" si="21"/>
        <v>86406.182825208001</v>
      </c>
      <c r="G1515" s="3">
        <f t="shared" si="20"/>
        <v>43203.091412604001</v>
      </c>
      <c r="H1515" t="s">
        <v>284</v>
      </c>
      <c r="I1515" t="s">
        <v>3202</v>
      </c>
      <c r="J1515" t="s">
        <v>3203</v>
      </c>
      <c r="K1515">
        <v>13.39</v>
      </c>
      <c r="L1515">
        <v>2.5630000000000002</v>
      </c>
      <c r="M1515" s="1">
        <v>100</v>
      </c>
      <c r="N1515" s="1" t="s">
        <v>3000</v>
      </c>
    </row>
    <row r="1516" spans="1:14" x14ac:dyDescent="0.25">
      <c r="A1516" t="s">
        <v>3044</v>
      </c>
      <c r="B1516" t="s">
        <v>2105</v>
      </c>
      <c r="C1516" t="s">
        <v>3362</v>
      </c>
      <c r="D1516" s="2">
        <v>3.32602592562505E-2</v>
      </c>
      <c r="E1516" s="3">
        <v>2244787.33966373</v>
      </c>
      <c r="F1516" s="3">
        <f t="shared" si="21"/>
        <v>374131.22327728831</v>
      </c>
      <c r="G1516" s="3">
        <f t="shared" si="20"/>
        <v>187065.61163864416</v>
      </c>
      <c r="H1516" t="s">
        <v>82</v>
      </c>
      <c r="I1516" t="s">
        <v>3231</v>
      </c>
      <c r="J1516" t="s">
        <v>3232</v>
      </c>
      <c r="K1516">
        <v>12.11</v>
      </c>
      <c r="L1516">
        <v>2.5739999999999998</v>
      </c>
      <c r="M1516" s="1">
        <v>100</v>
      </c>
      <c r="N1516" s="1" t="s">
        <v>3000</v>
      </c>
    </row>
    <row r="1517" spans="1:14" x14ac:dyDescent="0.25">
      <c r="A1517" t="s">
        <v>3055</v>
      </c>
      <c r="B1517" t="s">
        <v>2105</v>
      </c>
      <c r="C1517" t="s">
        <v>3362</v>
      </c>
      <c r="D1517" s="2">
        <v>3.1706747373262803E-2</v>
      </c>
      <c r="E1517" s="3">
        <v>2623303.7613463402</v>
      </c>
      <c r="F1517" s="3">
        <f t="shared" si="21"/>
        <v>437217.29355772334</v>
      </c>
      <c r="G1517" s="3">
        <f t="shared" si="20"/>
        <v>218608.64677886167</v>
      </c>
      <c r="H1517" t="s">
        <v>98</v>
      </c>
      <c r="I1517" t="s">
        <v>3268</v>
      </c>
      <c r="J1517" t="s">
        <v>3159</v>
      </c>
      <c r="K1517">
        <v>10.84</v>
      </c>
      <c r="L1517">
        <v>2.5329999999999999</v>
      </c>
      <c r="M1517" s="1">
        <v>100</v>
      </c>
      <c r="N1517" s="1" t="s">
        <v>3000</v>
      </c>
    </row>
    <row r="1518" spans="1:14" x14ac:dyDescent="0.25">
      <c r="A1518" t="s">
        <v>3066</v>
      </c>
      <c r="B1518" t="s">
        <v>2105</v>
      </c>
      <c r="C1518" t="s">
        <v>3362</v>
      </c>
      <c r="D1518" s="2">
        <v>4.6925957422220499E-2</v>
      </c>
      <c r="E1518" s="3">
        <v>943334.28564345604</v>
      </c>
      <c r="F1518" s="3">
        <f t="shared" si="21"/>
        <v>157222.380940576</v>
      </c>
      <c r="G1518" s="3">
        <f t="shared" si="20"/>
        <v>78611.190470287998</v>
      </c>
      <c r="H1518" t="s">
        <v>204</v>
      </c>
      <c r="I1518" t="s">
        <v>3301</v>
      </c>
      <c r="J1518" t="s">
        <v>3302</v>
      </c>
      <c r="K1518">
        <v>13.39</v>
      </c>
      <c r="L1518">
        <v>2.593</v>
      </c>
      <c r="M1518" s="1">
        <v>100</v>
      </c>
      <c r="N1518" s="1" t="s">
        <v>3000</v>
      </c>
    </row>
    <row r="1519" spans="1:14" x14ac:dyDescent="0.25">
      <c r="A1519" t="s">
        <v>3077</v>
      </c>
      <c r="B1519" t="s">
        <v>2105</v>
      </c>
      <c r="C1519" t="s">
        <v>3362</v>
      </c>
      <c r="D1519" s="2">
        <v>2.72245516907632E-2</v>
      </c>
      <c r="E1519" s="3">
        <v>4723315.2859424101</v>
      </c>
      <c r="F1519" s="3">
        <f t="shared" si="21"/>
        <v>787219.21432373498</v>
      </c>
      <c r="G1519" s="3">
        <f t="shared" si="20"/>
        <v>393609.60716186749</v>
      </c>
      <c r="H1519" t="s">
        <v>552</v>
      </c>
      <c r="I1519" t="s">
        <v>2599</v>
      </c>
      <c r="J1519" t="s">
        <v>1195</v>
      </c>
      <c r="K1519">
        <v>13.39</v>
      </c>
      <c r="L1519">
        <v>2.7160000000000002</v>
      </c>
      <c r="M1519" s="1">
        <v>100</v>
      </c>
      <c r="N1519" s="1" t="s">
        <v>3000</v>
      </c>
    </row>
    <row r="1520" spans="1:14" x14ac:dyDescent="0.25">
      <c r="A1520" t="s">
        <v>3003</v>
      </c>
      <c r="B1520" t="s">
        <v>2105</v>
      </c>
      <c r="C1520" t="s">
        <v>3362</v>
      </c>
      <c r="D1520" s="2">
        <v>2.7387081716674599E-2</v>
      </c>
      <c r="E1520" s="3">
        <v>4594704.0503560798</v>
      </c>
      <c r="F1520" s="3">
        <f t="shared" si="21"/>
        <v>765784.00839267997</v>
      </c>
      <c r="G1520" s="3">
        <f t="shared" si="20"/>
        <v>382892.00419633999</v>
      </c>
      <c r="H1520" t="s">
        <v>71</v>
      </c>
      <c r="I1520" t="s">
        <v>3097</v>
      </c>
      <c r="J1520" t="s">
        <v>3098</v>
      </c>
      <c r="K1520">
        <v>14.66</v>
      </c>
      <c r="L1520">
        <v>2.66</v>
      </c>
      <c r="M1520" s="1">
        <v>100</v>
      </c>
      <c r="N1520" s="1" t="s">
        <v>3000</v>
      </c>
    </row>
    <row r="1521" spans="1:14" x14ac:dyDescent="0.25">
      <c r="A1521" t="s">
        <v>3014</v>
      </c>
      <c r="B1521" t="s">
        <v>2105</v>
      </c>
      <c r="C1521" t="s">
        <v>3362</v>
      </c>
      <c r="D1521" s="2">
        <v>3.3780876452355502E-2</v>
      </c>
      <c r="E1521" s="3">
        <v>2211000.4698545602</v>
      </c>
      <c r="F1521" s="3">
        <f t="shared" si="21"/>
        <v>368500.07830909337</v>
      </c>
      <c r="G1521" s="3">
        <f t="shared" si="20"/>
        <v>184250.03915454668</v>
      </c>
      <c r="H1521" t="s">
        <v>3129</v>
      </c>
      <c r="I1521" t="s">
        <v>3132</v>
      </c>
      <c r="J1521" t="s">
        <v>3133</v>
      </c>
      <c r="K1521">
        <v>14.66</v>
      </c>
      <c r="L1521">
        <v>2.5859999999999999</v>
      </c>
      <c r="M1521" s="1">
        <v>100</v>
      </c>
      <c r="N1521" s="1" t="s">
        <v>3000</v>
      </c>
    </row>
    <row r="1522" spans="1:14" x14ac:dyDescent="0.25">
      <c r="A1522" t="s">
        <v>3025</v>
      </c>
      <c r="B1522" t="s">
        <v>2105</v>
      </c>
      <c r="C1522" t="s">
        <v>3362</v>
      </c>
      <c r="D1522" s="2">
        <v>2.9457031009897001E-2</v>
      </c>
      <c r="E1522" s="3">
        <v>3726157.6098041101</v>
      </c>
      <c r="F1522" s="3">
        <f t="shared" si="21"/>
        <v>621026.26830068498</v>
      </c>
      <c r="G1522" s="3">
        <f t="shared" si="20"/>
        <v>310513.13415034249</v>
      </c>
      <c r="H1522" t="s">
        <v>361</v>
      </c>
      <c r="I1522" t="s">
        <v>3168</v>
      </c>
      <c r="J1522" t="s">
        <v>3169</v>
      </c>
      <c r="K1522">
        <v>14.66</v>
      </c>
      <c r="L1522">
        <v>2.5</v>
      </c>
      <c r="M1522" s="1">
        <v>100</v>
      </c>
      <c r="N1522" s="1" t="s">
        <v>3000</v>
      </c>
    </row>
    <row r="1523" spans="1:14" x14ac:dyDescent="0.25">
      <c r="A1523" t="s">
        <v>3035</v>
      </c>
      <c r="B1523" t="s">
        <v>2105</v>
      </c>
      <c r="C1523" t="s">
        <v>3362</v>
      </c>
      <c r="D1523" s="2">
        <v>4.1280551221832003E-2</v>
      </c>
      <c r="E1523" s="3">
        <v>1310588.66256374</v>
      </c>
      <c r="F1523" s="3">
        <f t="shared" si="21"/>
        <v>218431.44376062334</v>
      </c>
      <c r="G1523" s="3">
        <f t="shared" si="20"/>
        <v>109215.72188031167</v>
      </c>
      <c r="H1523" t="s">
        <v>198</v>
      </c>
      <c r="I1523" t="s">
        <v>2775</v>
      </c>
      <c r="J1523" t="s">
        <v>456</v>
      </c>
      <c r="K1523">
        <v>11.48</v>
      </c>
      <c r="L1523">
        <v>2.504</v>
      </c>
      <c r="M1523" s="1">
        <v>100</v>
      </c>
      <c r="N1523" s="1" t="s">
        <v>3000</v>
      </c>
    </row>
    <row r="1524" spans="1:14" x14ac:dyDescent="0.25">
      <c r="A1524" t="s">
        <v>3045</v>
      </c>
      <c r="B1524" t="s">
        <v>2105</v>
      </c>
      <c r="C1524" t="s">
        <v>3362</v>
      </c>
      <c r="D1524" s="2">
        <v>3.1810263576560402E-2</v>
      </c>
      <c r="E1524" s="3">
        <v>2630739.2969357902</v>
      </c>
      <c r="F1524" s="3">
        <f t="shared" si="21"/>
        <v>438456.54948929837</v>
      </c>
      <c r="G1524" s="3">
        <f t="shared" si="20"/>
        <v>219228.27474464918</v>
      </c>
      <c r="H1524" t="s">
        <v>130</v>
      </c>
      <c r="I1524" t="s">
        <v>3234</v>
      </c>
      <c r="J1524" t="s">
        <v>3235</v>
      </c>
      <c r="K1524">
        <v>8.2899999999999991</v>
      </c>
      <c r="L1524">
        <v>2.5049999999999999</v>
      </c>
      <c r="M1524" s="1">
        <v>100</v>
      </c>
      <c r="N1524" s="1" t="s">
        <v>3000</v>
      </c>
    </row>
    <row r="1525" spans="1:14" x14ac:dyDescent="0.25">
      <c r="A1525" t="s">
        <v>3052</v>
      </c>
      <c r="B1525" t="s">
        <v>2105</v>
      </c>
      <c r="C1525" t="s">
        <v>3362</v>
      </c>
      <c r="D1525" s="2">
        <v>2.6795160111143301E-2</v>
      </c>
      <c r="E1525" s="3">
        <v>6163287.4005922498</v>
      </c>
      <c r="F1525" s="3">
        <f t="shared" si="21"/>
        <v>1027214.566765375</v>
      </c>
      <c r="G1525" s="3">
        <f t="shared" si="20"/>
        <v>513607.28338268748</v>
      </c>
      <c r="H1525" t="s">
        <v>114</v>
      </c>
      <c r="I1525" t="s">
        <v>3258</v>
      </c>
      <c r="J1525" t="s">
        <v>3259</v>
      </c>
      <c r="K1525">
        <v>9.56</v>
      </c>
      <c r="L1525">
        <v>2.5419999999999998</v>
      </c>
      <c r="M1525" s="1">
        <v>100</v>
      </c>
      <c r="N1525" s="1" t="s">
        <v>3000</v>
      </c>
    </row>
    <row r="1526" spans="1:14" x14ac:dyDescent="0.25">
      <c r="A1526" t="s">
        <v>3063</v>
      </c>
      <c r="B1526" t="s">
        <v>2105</v>
      </c>
      <c r="C1526" t="s">
        <v>3362</v>
      </c>
      <c r="D1526" s="2">
        <v>3.1005513537331698E-2</v>
      </c>
      <c r="E1526" s="3">
        <v>11906533.1437508</v>
      </c>
      <c r="F1526" s="3">
        <f t="shared" si="21"/>
        <v>1984422.1906251332</v>
      </c>
      <c r="G1526" s="3">
        <f t="shared" si="20"/>
        <v>992211.09531256661</v>
      </c>
      <c r="H1526" t="s">
        <v>227</v>
      </c>
      <c r="I1526" t="s">
        <v>3290</v>
      </c>
      <c r="J1526" t="s">
        <v>3291</v>
      </c>
      <c r="K1526">
        <v>13.39</v>
      </c>
      <c r="L1526">
        <v>2.5099999999999998</v>
      </c>
      <c r="M1526" s="1">
        <v>100</v>
      </c>
      <c r="N1526" s="1" t="s">
        <v>3000</v>
      </c>
    </row>
    <row r="1527" spans="1:14" x14ac:dyDescent="0.25">
      <c r="A1527" t="s">
        <v>3074</v>
      </c>
      <c r="B1527" t="s">
        <v>2105</v>
      </c>
      <c r="C1527" t="s">
        <v>3362</v>
      </c>
      <c r="D1527" s="2">
        <v>3.1523325325301901E-2</v>
      </c>
      <c r="E1527" s="3">
        <v>12013091.409621701</v>
      </c>
      <c r="F1527" s="3">
        <f t="shared" si="21"/>
        <v>2002181.9016036168</v>
      </c>
      <c r="G1527" s="3">
        <f t="shared" si="20"/>
        <v>1001090.9508018084</v>
      </c>
      <c r="H1527" t="s">
        <v>308</v>
      </c>
      <c r="I1527" t="s">
        <v>3324</v>
      </c>
      <c r="J1527" t="s">
        <v>3325</v>
      </c>
      <c r="K1527">
        <v>14.03</v>
      </c>
      <c r="L1527">
        <v>2.5590000000000002</v>
      </c>
      <c r="M1527" s="1">
        <v>100</v>
      </c>
      <c r="N1527" s="1" t="s">
        <v>3000</v>
      </c>
    </row>
    <row r="1528" spans="1:14" x14ac:dyDescent="0.25">
      <c r="A1528" t="s">
        <v>3085</v>
      </c>
      <c r="B1528" t="s">
        <v>2105</v>
      </c>
      <c r="C1528" t="s">
        <v>3362</v>
      </c>
      <c r="D1528" s="2">
        <v>2.8011448895964901E-2</v>
      </c>
      <c r="E1528" s="3">
        <v>4403365.9479413899</v>
      </c>
      <c r="F1528" s="3">
        <f t="shared" si="21"/>
        <v>733894.32465689827</v>
      </c>
      <c r="G1528" s="3">
        <f t="shared" si="20"/>
        <v>366947.16232844914</v>
      </c>
      <c r="H1528" t="s">
        <v>3120</v>
      </c>
      <c r="I1528" t="s">
        <v>3354</v>
      </c>
      <c r="J1528" t="s">
        <v>3355</v>
      </c>
      <c r="K1528">
        <v>12.75</v>
      </c>
      <c r="L1528">
        <v>2.625</v>
      </c>
      <c r="M1528" s="1">
        <v>100</v>
      </c>
      <c r="N1528" s="1" t="s">
        <v>3000</v>
      </c>
    </row>
    <row r="1529" spans="1:14" x14ac:dyDescent="0.25">
      <c r="A1529" t="s">
        <v>3010</v>
      </c>
      <c r="B1529" t="s">
        <v>2105</v>
      </c>
      <c r="C1529" t="s">
        <v>3362</v>
      </c>
      <c r="D1529" s="2">
        <v>3.10695396669162E-2</v>
      </c>
      <c r="E1529" s="3">
        <v>2687802.4718701802</v>
      </c>
      <c r="F1529" s="3">
        <f t="shared" si="21"/>
        <v>447967.07864503004</v>
      </c>
      <c r="G1529" s="3">
        <f t="shared" si="20"/>
        <v>223983.53932251502</v>
      </c>
      <c r="H1529" t="s">
        <v>421</v>
      </c>
      <c r="I1529" t="s">
        <v>3117</v>
      </c>
      <c r="J1529" t="s">
        <v>3118</v>
      </c>
      <c r="K1529">
        <v>10.84</v>
      </c>
      <c r="L1529">
        <v>2.6520000000000001</v>
      </c>
      <c r="M1529" s="1">
        <v>100</v>
      </c>
      <c r="N1529" s="1" t="s">
        <v>3000</v>
      </c>
    </row>
    <row r="1530" spans="1:14" x14ac:dyDescent="0.25">
      <c r="A1530" t="s">
        <v>3021</v>
      </c>
      <c r="B1530" t="s">
        <v>2105</v>
      </c>
      <c r="C1530" t="s">
        <v>3362</v>
      </c>
      <c r="D1530" s="2">
        <v>2.6838249619575601E-2</v>
      </c>
      <c r="E1530" s="3">
        <v>6448443.5931619303</v>
      </c>
      <c r="F1530" s="3">
        <f t="shared" si="21"/>
        <v>1074740.5988603218</v>
      </c>
      <c r="G1530" s="3">
        <f t="shared" ref="G1530:G1557" si="22">F1530/2</f>
        <v>537370.2994301609</v>
      </c>
      <c r="H1530" t="s">
        <v>91</v>
      </c>
      <c r="I1530" t="s">
        <v>3155</v>
      </c>
      <c r="J1530" t="s">
        <v>3156</v>
      </c>
      <c r="K1530">
        <v>13.39</v>
      </c>
      <c r="L1530">
        <v>2.62</v>
      </c>
      <c r="M1530" s="1">
        <v>100</v>
      </c>
      <c r="N1530" s="1" t="s">
        <v>3000</v>
      </c>
    </row>
    <row r="1531" spans="1:14" x14ac:dyDescent="0.25">
      <c r="A1531" t="s">
        <v>3056</v>
      </c>
      <c r="B1531" t="s">
        <v>2105</v>
      </c>
      <c r="C1531" t="s">
        <v>3362</v>
      </c>
      <c r="D1531" s="2">
        <v>2.9574906732328401E-2</v>
      </c>
      <c r="E1531" s="3">
        <v>3343515.1361895902</v>
      </c>
      <c r="F1531" s="3">
        <f t="shared" si="21"/>
        <v>557252.52269826503</v>
      </c>
      <c r="G1531" s="3">
        <f t="shared" si="22"/>
        <v>278626.26134913252</v>
      </c>
      <c r="H1531" t="s">
        <v>324</v>
      </c>
      <c r="I1531" t="s">
        <v>3270</v>
      </c>
      <c r="J1531" t="s">
        <v>282</v>
      </c>
      <c r="K1531">
        <v>12.11</v>
      </c>
      <c r="L1531">
        <v>2.5219999999999998</v>
      </c>
      <c r="M1531" s="1">
        <v>100</v>
      </c>
      <c r="N1531" s="1" t="s">
        <v>3000</v>
      </c>
    </row>
    <row r="1532" spans="1:14" x14ac:dyDescent="0.25">
      <c r="A1532" t="s">
        <v>3067</v>
      </c>
      <c r="B1532" t="s">
        <v>2105</v>
      </c>
      <c r="C1532" t="s">
        <v>3362</v>
      </c>
      <c r="D1532" s="2">
        <v>3.8511830183134498E-2</v>
      </c>
      <c r="E1532" s="3">
        <v>1516508.70408532</v>
      </c>
      <c r="F1532" s="3">
        <f t="shared" si="21"/>
        <v>252751.45068088666</v>
      </c>
      <c r="G1532" s="3">
        <f t="shared" si="22"/>
        <v>126375.72534044333</v>
      </c>
      <c r="H1532" t="s">
        <v>521</v>
      </c>
      <c r="I1532" t="s">
        <v>3304</v>
      </c>
      <c r="J1532" t="s">
        <v>638</v>
      </c>
      <c r="K1532">
        <v>14.66</v>
      </c>
      <c r="L1532">
        <v>2.609</v>
      </c>
      <c r="M1532" s="1">
        <v>100</v>
      </c>
      <c r="N1532" s="1" t="s">
        <v>3000</v>
      </c>
    </row>
    <row r="1533" spans="1:14" x14ac:dyDescent="0.25">
      <c r="A1533" t="s">
        <v>3078</v>
      </c>
      <c r="B1533" t="s">
        <v>2105</v>
      </c>
      <c r="C1533" t="s">
        <v>3362</v>
      </c>
      <c r="D1533" s="2">
        <v>3.1234366744695801E-2</v>
      </c>
      <c r="E1533" s="3">
        <v>2696961.7624158799</v>
      </c>
      <c r="F1533" s="3">
        <f t="shared" si="21"/>
        <v>449493.62706931331</v>
      </c>
      <c r="G1533" s="3">
        <f t="shared" si="22"/>
        <v>224746.81353465666</v>
      </c>
      <c r="H1533" t="s">
        <v>706</v>
      </c>
      <c r="I1533" t="s">
        <v>3335</v>
      </c>
      <c r="J1533" t="s">
        <v>3336</v>
      </c>
      <c r="K1533">
        <v>12.11</v>
      </c>
      <c r="L1533">
        <v>2.6320000000000001</v>
      </c>
      <c r="M1533" s="1">
        <v>100</v>
      </c>
      <c r="N1533" s="1" t="s">
        <v>3000</v>
      </c>
    </row>
    <row r="1534" spans="1:14" x14ac:dyDescent="0.25">
      <c r="A1534" t="s">
        <v>3004</v>
      </c>
      <c r="B1534" t="s">
        <v>2105</v>
      </c>
      <c r="C1534" t="s">
        <v>3362</v>
      </c>
      <c r="D1534" s="2">
        <v>2.75203411425681E-2</v>
      </c>
      <c r="E1534" s="3">
        <v>4522062.6782343797</v>
      </c>
      <c r="F1534" s="3">
        <f t="shared" si="21"/>
        <v>753677.11303906329</v>
      </c>
      <c r="G1534" s="3">
        <f t="shared" si="22"/>
        <v>376838.55651953164</v>
      </c>
      <c r="H1534" t="s">
        <v>133</v>
      </c>
      <c r="I1534" t="s">
        <v>3101</v>
      </c>
      <c r="J1534" t="s">
        <v>989</v>
      </c>
      <c r="K1534">
        <v>15.94</v>
      </c>
      <c r="L1534">
        <v>2.6219999999999999</v>
      </c>
      <c r="M1534" s="1">
        <v>100</v>
      </c>
      <c r="N1534" s="1" t="s">
        <v>3000</v>
      </c>
    </row>
    <row r="1535" spans="1:14" x14ac:dyDescent="0.25">
      <c r="A1535" t="s">
        <v>3026</v>
      </c>
      <c r="B1535" t="s">
        <v>2105</v>
      </c>
      <c r="C1535" t="s">
        <v>3362</v>
      </c>
      <c r="D1535" s="2">
        <v>2.89383716310724E-2</v>
      </c>
      <c r="E1535" s="3">
        <v>3646794.9928784999</v>
      </c>
      <c r="F1535" s="3">
        <f t="shared" si="21"/>
        <v>607799.16547975002</v>
      </c>
      <c r="G1535" s="3">
        <f t="shared" si="22"/>
        <v>303899.58273987501</v>
      </c>
      <c r="H1535" t="s">
        <v>130</v>
      </c>
      <c r="I1535" t="s">
        <v>2572</v>
      </c>
      <c r="J1535" t="s">
        <v>3171</v>
      </c>
      <c r="K1535">
        <v>14.03</v>
      </c>
      <c r="L1535">
        <v>2.5219999999999998</v>
      </c>
      <c r="M1535" s="1">
        <v>100</v>
      </c>
      <c r="N1535" s="1" t="s">
        <v>3000</v>
      </c>
    </row>
    <row r="1536" spans="1:14" x14ac:dyDescent="0.25">
      <c r="A1536" t="s">
        <v>3036</v>
      </c>
      <c r="B1536" t="s">
        <v>2105</v>
      </c>
      <c r="C1536" t="s">
        <v>3362</v>
      </c>
      <c r="D1536" s="2">
        <v>2.7838168025008801E-2</v>
      </c>
      <c r="E1536" s="3">
        <v>4552350.7644531904</v>
      </c>
      <c r="F1536" s="3">
        <f t="shared" ref="F1536:F1557" si="23">E1536/6</f>
        <v>758725.12740886502</v>
      </c>
      <c r="G1536" s="3">
        <f t="shared" si="22"/>
        <v>379362.56370443251</v>
      </c>
      <c r="H1536" t="s">
        <v>259</v>
      </c>
      <c r="I1536" t="s">
        <v>3204</v>
      </c>
      <c r="J1536" t="s">
        <v>3205</v>
      </c>
      <c r="K1536">
        <v>11.48</v>
      </c>
      <c r="L1536">
        <v>2.468</v>
      </c>
      <c r="M1536" s="1">
        <v>100</v>
      </c>
      <c r="N1536" s="1" t="s">
        <v>3000</v>
      </c>
    </row>
    <row r="1537" spans="1:14" x14ac:dyDescent="0.25">
      <c r="A1537" t="s">
        <v>3046</v>
      </c>
      <c r="B1537" t="s">
        <v>2105</v>
      </c>
      <c r="C1537" t="s">
        <v>3362</v>
      </c>
      <c r="D1537" s="2">
        <v>2.6769276879504599E-2</v>
      </c>
      <c r="E1537" s="3">
        <v>6600227.6809197897</v>
      </c>
      <c r="F1537" s="3">
        <f t="shared" si="23"/>
        <v>1100037.946819965</v>
      </c>
      <c r="G1537" s="3">
        <f t="shared" si="22"/>
        <v>550018.97340998251</v>
      </c>
      <c r="H1537" t="s">
        <v>38</v>
      </c>
      <c r="I1537" t="s">
        <v>3126</v>
      </c>
      <c r="J1537" t="s">
        <v>3237</v>
      </c>
      <c r="K1537">
        <v>14.03</v>
      </c>
      <c r="L1537">
        <v>2.4420000000000002</v>
      </c>
      <c r="M1537" s="1">
        <v>100</v>
      </c>
      <c r="N1537" s="1" t="s">
        <v>3000</v>
      </c>
    </row>
    <row r="1538" spans="1:14" x14ac:dyDescent="0.25">
      <c r="A1538" t="s">
        <v>3057</v>
      </c>
      <c r="B1538" t="s">
        <v>2105</v>
      </c>
      <c r="C1538" t="s">
        <v>3362</v>
      </c>
      <c r="D1538" s="2">
        <v>2.97731075821119E-2</v>
      </c>
      <c r="E1538" s="3">
        <v>3294184.9854736398</v>
      </c>
      <c r="F1538" s="3">
        <f t="shared" si="23"/>
        <v>549030.83091227326</v>
      </c>
      <c r="G1538" s="3">
        <f t="shared" si="22"/>
        <v>274515.41545613663</v>
      </c>
      <c r="H1538" t="s">
        <v>222</v>
      </c>
      <c r="I1538" t="s">
        <v>3273</v>
      </c>
      <c r="J1538" t="s">
        <v>2063</v>
      </c>
      <c r="K1538">
        <v>12.75</v>
      </c>
      <c r="L1538">
        <v>2.488</v>
      </c>
      <c r="M1538" s="1">
        <v>100</v>
      </c>
      <c r="N1538" s="1" t="s">
        <v>3000</v>
      </c>
    </row>
    <row r="1539" spans="1:14" x14ac:dyDescent="0.25">
      <c r="A1539" t="s">
        <v>3068</v>
      </c>
      <c r="B1539" t="s">
        <v>2105</v>
      </c>
      <c r="C1539" t="s">
        <v>3362</v>
      </c>
      <c r="D1539" s="2">
        <v>2.7608538596879999E-2</v>
      </c>
      <c r="E1539" s="3">
        <v>4580694.3289597305</v>
      </c>
      <c r="F1539" s="3">
        <f t="shared" si="23"/>
        <v>763449.05482662178</v>
      </c>
      <c r="G1539" s="3">
        <f t="shared" si="22"/>
        <v>381724.52741331089</v>
      </c>
      <c r="H1539" t="s">
        <v>297</v>
      </c>
      <c r="I1539" t="s">
        <v>3307</v>
      </c>
      <c r="J1539" t="s">
        <v>3308</v>
      </c>
      <c r="K1539">
        <v>12.11</v>
      </c>
      <c r="L1539">
        <v>2.5169999999999999</v>
      </c>
      <c r="M1539" s="1">
        <v>100</v>
      </c>
      <c r="N1539" s="1" t="s">
        <v>3000</v>
      </c>
    </row>
    <row r="1540" spans="1:14" x14ac:dyDescent="0.25">
      <c r="A1540" t="s">
        <v>3079</v>
      </c>
      <c r="B1540" t="s">
        <v>2105</v>
      </c>
      <c r="C1540" t="s">
        <v>3362</v>
      </c>
      <c r="D1540" s="2">
        <v>2.9333016364394102E-2</v>
      </c>
      <c r="E1540" s="3">
        <v>3684776.4465588601</v>
      </c>
      <c r="F1540" s="3">
        <f t="shared" si="23"/>
        <v>614129.40775980998</v>
      </c>
      <c r="G1540" s="3">
        <f t="shared" si="22"/>
        <v>307064.70387990499</v>
      </c>
      <c r="H1540" t="s">
        <v>1381</v>
      </c>
      <c r="I1540" t="s">
        <v>3339</v>
      </c>
      <c r="J1540" t="s">
        <v>2907</v>
      </c>
      <c r="K1540">
        <v>13.39</v>
      </c>
      <c r="L1540">
        <v>2.625</v>
      </c>
      <c r="M1540" s="1">
        <v>100</v>
      </c>
      <c r="N1540" s="1" t="s">
        <v>3000</v>
      </c>
    </row>
    <row r="1541" spans="1:14" x14ac:dyDescent="0.25">
      <c r="A1541" t="s">
        <v>3005</v>
      </c>
      <c r="B1541" t="s">
        <v>2105</v>
      </c>
      <c r="C1541" t="s">
        <v>3362</v>
      </c>
      <c r="D1541" s="2">
        <v>2.68927929070371E-2</v>
      </c>
      <c r="E1541" s="3">
        <v>6879897.1800784403</v>
      </c>
      <c r="F1541" s="3">
        <f t="shared" si="23"/>
        <v>1146649.5300130735</v>
      </c>
      <c r="G1541" s="3">
        <f t="shared" si="22"/>
        <v>573324.76500653673</v>
      </c>
      <c r="H1541" t="s">
        <v>198</v>
      </c>
      <c r="I1541" t="s">
        <v>3104</v>
      </c>
      <c r="J1541" t="s">
        <v>3105</v>
      </c>
      <c r="K1541">
        <v>15.94</v>
      </c>
      <c r="L1541">
        <v>2.6349999999999998</v>
      </c>
      <c r="M1541" s="1">
        <v>100</v>
      </c>
      <c r="N1541" s="1" t="s">
        <v>3000</v>
      </c>
    </row>
    <row r="1542" spans="1:14" x14ac:dyDescent="0.25">
      <c r="A1542" t="s">
        <v>3015</v>
      </c>
      <c r="B1542" t="s">
        <v>2105</v>
      </c>
      <c r="C1542" t="s">
        <v>3362</v>
      </c>
      <c r="D1542" s="2">
        <v>3.1758729328442502E-2</v>
      </c>
      <c r="E1542" s="3">
        <v>2608213.88048532</v>
      </c>
      <c r="F1542" s="3">
        <f t="shared" si="23"/>
        <v>434702.31341422</v>
      </c>
      <c r="G1542" s="3">
        <f t="shared" si="22"/>
        <v>217351.15670711</v>
      </c>
      <c r="H1542" t="s">
        <v>284</v>
      </c>
      <c r="I1542" t="s">
        <v>3136</v>
      </c>
      <c r="J1542" t="s">
        <v>2058</v>
      </c>
      <c r="K1542">
        <v>14.66</v>
      </c>
      <c r="L1542">
        <v>2.5379999999999998</v>
      </c>
      <c r="M1542" s="1">
        <v>100</v>
      </c>
      <c r="N1542" s="1" t="s">
        <v>3000</v>
      </c>
    </row>
    <row r="1543" spans="1:14" x14ac:dyDescent="0.25">
      <c r="A1543" t="s">
        <v>3027</v>
      </c>
      <c r="B1543" t="s">
        <v>2105</v>
      </c>
      <c r="C1543" t="s">
        <v>3362</v>
      </c>
      <c r="D1543" s="2">
        <v>2.68002456033513E-2</v>
      </c>
      <c r="E1543" s="3">
        <v>6420384.1395075005</v>
      </c>
      <c r="F1543" s="3">
        <f t="shared" si="23"/>
        <v>1070064.0232512502</v>
      </c>
      <c r="G1543" s="3">
        <f t="shared" si="22"/>
        <v>535032.01162562508</v>
      </c>
      <c r="H1543" t="s">
        <v>324</v>
      </c>
      <c r="I1543" t="s">
        <v>3173</v>
      </c>
      <c r="J1543" t="s">
        <v>3174</v>
      </c>
      <c r="K1543">
        <v>12.11</v>
      </c>
      <c r="L1543">
        <v>2.4740000000000002</v>
      </c>
      <c r="M1543" s="1">
        <v>100</v>
      </c>
      <c r="N1543" s="1" t="s">
        <v>3000</v>
      </c>
    </row>
    <row r="1544" spans="1:14" x14ac:dyDescent="0.25">
      <c r="A1544" t="s">
        <v>3037</v>
      </c>
      <c r="B1544" t="s">
        <v>2105</v>
      </c>
      <c r="C1544" t="s">
        <v>3362</v>
      </c>
      <c r="D1544" s="2">
        <v>2.91690348392112E-2</v>
      </c>
      <c r="E1544" s="3">
        <v>3619985.5685193301</v>
      </c>
      <c r="F1544" s="3">
        <f t="shared" si="23"/>
        <v>603330.92808655498</v>
      </c>
      <c r="G1544" s="3">
        <f t="shared" si="22"/>
        <v>301665.46404327749</v>
      </c>
      <c r="H1544" t="s">
        <v>98</v>
      </c>
      <c r="I1544" t="s">
        <v>3207</v>
      </c>
      <c r="J1544" t="s">
        <v>3208</v>
      </c>
      <c r="K1544">
        <v>10.199999999999999</v>
      </c>
      <c r="L1544">
        <v>2.4540000000000002</v>
      </c>
      <c r="M1544" s="1">
        <v>100</v>
      </c>
      <c r="N1544" s="1" t="s">
        <v>3000</v>
      </c>
    </row>
    <row r="1545" spans="1:14" x14ac:dyDescent="0.25">
      <c r="A1545" t="s">
        <v>3047</v>
      </c>
      <c r="B1545" t="s">
        <v>2105</v>
      </c>
      <c r="C1545" t="s">
        <v>3362</v>
      </c>
      <c r="D1545" s="2">
        <v>3.4185626614133401E-2</v>
      </c>
      <c r="E1545" s="3">
        <v>2208537.5587849598</v>
      </c>
      <c r="F1545" s="3">
        <f t="shared" si="23"/>
        <v>368089.59313082666</v>
      </c>
      <c r="G1545" s="3">
        <f t="shared" si="22"/>
        <v>184044.79656541333</v>
      </c>
      <c r="H1545" t="s">
        <v>198</v>
      </c>
      <c r="I1545" t="s">
        <v>3240</v>
      </c>
      <c r="J1545" t="s">
        <v>3241</v>
      </c>
      <c r="K1545">
        <v>10.84</v>
      </c>
      <c r="L1545">
        <v>2.4119999999999999</v>
      </c>
      <c r="M1545" s="1">
        <v>100</v>
      </c>
      <c r="N1545" s="1" t="s">
        <v>3000</v>
      </c>
    </row>
    <row r="1546" spans="1:14" x14ac:dyDescent="0.25">
      <c r="A1546" t="s">
        <v>3058</v>
      </c>
      <c r="B1546" t="s">
        <v>2105</v>
      </c>
      <c r="C1546" t="s">
        <v>3362</v>
      </c>
      <c r="D1546" s="2">
        <v>2.8200214464646E-2</v>
      </c>
      <c r="E1546" s="3">
        <v>4175224.2627033601</v>
      </c>
      <c r="F1546" s="3">
        <f t="shared" si="23"/>
        <v>695870.71045055997</v>
      </c>
      <c r="G1546" s="3">
        <f t="shared" si="22"/>
        <v>347935.35522527999</v>
      </c>
      <c r="H1546" t="s">
        <v>56</v>
      </c>
      <c r="I1546" t="s">
        <v>3276</v>
      </c>
      <c r="J1546" t="s">
        <v>388</v>
      </c>
      <c r="K1546">
        <v>12.11</v>
      </c>
      <c r="L1546">
        <v>2.4670000000000001</v>
      </c>
      <c r="M1546" s="1">
        <v>100</v>
      </c>
      <c r="N1546" s="1" t="s">
        <v>3000</v>
      </c>
    </row>
    <row r="1547" spans="1:14" x14ac:dyDescent="0.25">
      <c r="A1547" t="s">
        <v>3069</v>
      </c>
      <c r="B1547" t="s">
        <v>2105</v>
      </c>
      <c r="C1547" t="s">
        <v>3362</v>
      </c>
      <c r="D1547" s="2">
        <v>2.72582636001024E-2</v>
      </c>
      <c r="E1547" s="3">
        <v>6719260.32250816</v>
      </c>
      <c r="F1547" s="3">
        <f t="shared" si="23"/>
        <v>1119876.7204180267</v>
      </c>
      <c r="G1547" s="3">
        <f t="shared" si="22"/>
        <v>559938.36020901334</v>
      </c>
      <c r="H1547" t="s">
        <v>2258</v>
      </c>
      <c r="I1547" t="s">
        <v>188</v>
      </c>
      <c r="J1547" t="s">
        <v>3310</v>
      </c>
      <c r="K1547">
        <v>12.11</v>
      </c>
      <c r="L1547">
        <v>2.5379999999999998</v>
      </c>
      <c r="M1547" s="1">
        <v>100</v>
      </c>
      <c r="N1547" s="1" t="s">
        <v>3000</v>
      </c>
    </row>
    <row r="1548" spans="1:14" x14ac:dyDescent="0.25">
      <c r="A1548" t="s">
        <v>3080</v>
      </c>
      <c r="B1548" t="s">
        <v>2105</v>
      </c>
      <c r="C1548" t="s">
        <v>3362</v>
      </c>
      <c r="D1548" s="2">
        <v>2.84505254451403E-2</v>
      </c>
      <c r="E1548" s="3">
        <v>3793091.04814247</v>
      </c>
      <c r="F1548" s="3">
        <f t="shared" si="23"/>
        <v>632181.84135707829</v>
      </c>
      <c r="G1548" s="3">
        <f t="shared" si="22"/>
        <v>316090.92067853914</v>
      </c>
      <c r="H1548" t="s">
        <v>124</v>
      </c>
      <c r="I1548" t="s">
        <v>3340</v>
      </c>
      <c r="J1548" t="s">
        <v>2769</v>
      </c>
      <c r="K1548">
        <v>14.66</v>
      </c>
      <c r="L1548">
        <v>2.61</v>
      </c>
      <c r="M1548" s="1">
        <v>100</v>
      </c>
      <c r="N1548" s="1" t="s">
        <v>3000</v>
      </c>
    </row>
    <row r="1549" spans="1:14" x14ac:dyDescent="0.25">
      <c r="A1549" t="s">
        <v>3006</v>
      </c>
      <c r="B1549" t="s">
        <v>2105</v>
      </c>
      <c r="C1549" t="s">
        <v>3362</v>
      </c>
      <c r="D1549" s="2">
        <v>2.6783906650090099E-2</v>
      </c>
      <c r="E1549" s="3">
        <v>5982685.1811430799</v>
      </c>
      <c r="F1549" s="3">
        <f t="shared" si="23"/>
        <v>997114.19685717998</v>
      </c>
      <c r="G1549" s="3">
        <f t="shared" si="22"/>
        <v>498557.09842858999</v>
      </c>
      <c r="H1549" t="s">
        <v>38</v>
      </c>
      <c r="I1549" t="s">
        <v>3108</v>
      </c>
      <c r="J1549" t="s">
        <v>3109</v>
      </c>
      <c r="K1549">
        <v>9.56</v>
      </c>
      <c r="L1549">
        <v>2.5979999999999999</v>
      </c>
      <c r="M1549" s="1">
        <v>100</v>
      </c>
      <c r="N1549" s="1" t="s">
        <v>3000</v>
      </c>
    </row>
    <row r="1550" spans="1:14" x14ac:dyDescent="0.25">
      <c r="A1550" t="s">
        <v>3016</v>
      </c>
      <c r="B1550" t="s">
        <v>2105</v>
      </c>
      <c r="C1550" t="s">
        <v>3362</v>
      </c>
      <c r="D1550" s="2">
        <v>3.53339594132136E-2</v>
      </c>
      <c r="E1550" s="3">
        <v>1947906.3946040701</v>
      </c>
      <c r="F1550" s="3">
        <f t="shared" si="23"/>
        <v>324651.06576734502</v>
      </c>
      <c r="G1550" s="3">
        <f t="shared" si="22"/>
        <v>162325.53288367251</v>
      </c>
      <c r="H1550" t="s">
        <v>204</v>
      </c>
      <c r="I1550" t="s">
        <v>3138</v>
      </c>
      <c r="J1550" t="s">
        <v>3139</v>
      </c>
      <c r="K1550">
        <v>12.75</v>
      </c>
      <c r="L1550">
        <v>2.516</v>
      </c>
      <c r="M1550" s="1">
        <v>100</v>
      </c>
      <c r="N1550" s="1" t="s">
        <v>3000</v>
      </c>
    </row>
    <row r="1551" spans="1:14" x14ac:dyDescent="0.25">
      <c r="A1551" t="s">
        <v>3028</v>
      </c>
      <c r="B1551" t="s">
        <v>2105</v>
      </c>
      <c r="C1551" t="s">
        <v>3362</v>
      </c>
      <c r="D1551" s="2">
        <v>2.7170375379780499E-2</v>
      </c>
      <c r="E1551" s="3">
        <v>5317595.8293645298</v>
      </c>
      <c r="F1551" s="3">
        <f t="shared" si="23"/>
        <v>886265.97156075493</v>
      </c>
      <c r="G1551" s="3">
        <f t="shared" si="22"/>
        <v>443132.98578037746</v>
      </c>
      <c r="H1551" t="s">
        <v>198</v>
      </c>
      <c r="I1551" t="s">
        <v>3176</v>
      </c>
      <c r="J1551" t="s">
        <v>3177</v>
      </c>
      <c r="K1551">
        <v>12.11</v>
      </c>
      <c r="L1551">
        <v>2.4319999999999999</v>
      </c>
      <c r="M1551" s="1">
        <v>100</v>
      </c>
      <c r="N1551" s="1" t="s">
        <v>3000</v>
      </c>
    </row>
    <row r="1552" spans="1:14" x14ac:dyDescent="0.25">
      <c r="A1552" t="s">
        <v>3038</v>
      </c>
      <c r="B1552" t="s">
        <v>2105</v>
      </c>
      <c r="C1552" t="s">
        <v>3362</v>
      </c>
      <c r="D1552" s="2">
        <v>3.0175383125577299E-2</v>
      </c>
      <c r="E1552" s="3">
        <v>3209496.7454973301</v>
      </c>
      <c r="F1552" s="3">
        <f t="shared" si="23"/>
        <v>534916.12424955505</v>
      </c>
      <c r="G1552" s="3">
        <f t="shared" si="22"/>
        <v>267458.06212477753</v>
      </c>
      <c r="H1552" t="s">
        <v>38</v>
      </c>
      <c r="I1552" t="s">
        <v>3210</v>
      </c>
      <c r="J1552" t="s">
        <v>2413</v>
      </c>
      <c r="K1552">
        <v>9.56</v>
      </c>
      <c r="L1552">
        <v>2.4329999999999998</v>
      </c>
      <c r="M1552" s="1">
        <v>100</v>
      </c>
      <c r="N1552" s="1" t="s">
        <v>3000</v>
      </c>
    </row>
    <row r="1553" spans="1:14" x14ac:dyDescent="0.25">
      <c r="A1553" t="s">
        <v>3048</v>
      </c>
      <c r="B1553" t="s">
        <v>2105</v>
      </c>
      <c r="C1553" t="s">
        <v>3362</v>
      </c>
      <c r="D1553" s="2">
        <v>2.6804116041322899E-2</v>
      </c>
      <c r="E1553" s="3">
        <v>6299583.5295285704</v>
      </c>
      <c r="F1553" s="3">
        <f t="shared" si="23"/>
        <v>1049930.5882547616</v>
      </c>
      <c r="G1553" s="3">
        <f t="shared" si="22"/>
        <v>524965.29412738082</v>
      </c>
      <c r="H1553" t="s">
        <v>67</v>
      </c>
      <c r="I1553" t="s">
        <v>3242</v>
      </c>
      <c r="J1553" t="s">
        <v>3243</v>
      </c>
      <c r="K1553">
        <v>12.11</v>
      </c>
      <c r="L1553">
        <v>2.4300000000000002</v>
      </c>
      <c r="M1553" s="1">
        <v>100</v>
      </c>
      <c r="N1553" s="1" t="s">
        <v>3000</v>
      </c>
    </row>
    <row r="1554" spans="1:14" x14ac:dyDescent="0.25">
      <c r="A1554" t="s">
        <v>3059</v>
      </c>
      <c r="B1554" t="s">
        <v>2105</v>
      </c>
      <c r="C1554" t="s">
        <v>3362</v>
      </c>
      <c r="D1554" s="2">
        <v>4.5668909166447801E-2</v>
      </c>
      <c r="E1554" s="3">
        <v>1058258.7124215499</v>
      </c>
      <c r="F1554" s="3">
        <f t="shared" si="23"/>
        <v>176376.45207025832</v>
      </c>
      <c r="G1554" s="3">
        <f t="shared" si="22"/>
        <v>88188.226035129162</v>
      </c>
      <c r="H1554" t="s">
        <v>141</v>
      </c>
      <c r="I1554" t="s">
        <v>3278</v>
      </c>
      <c r="J1554" t="s">
        <v>3279</v>
      </c>
      <c r="K1554">
        <v>12.11</v>
      </c>
      <c r="L1554">
        <v>2.4580000000000002</v>
      </c>
      <c r="M1554" s="1">
        <v>100</v>
      </c>
      <c r="N1554" s="1" t="s">
        <v>3000</v>
      </c>
    </row>
    <row r="1555" spans="1:14" x14ac:dyDescent="0.25">
      <c r="A1555" t="s">
        <v>3070</v>
      </c>
      <c r="B1555" t="s">
        <v>2105</v>
      </c>
      <c r="C1555" t="s">
        <v>3362</v>
      </c>
      <c r="D1555" s="2">
        <v>2.6995256993551601E-2</v>
      </c>
      <c r="E1555" s="3">
        <v>5531638.4742626501</v>
      </c>
      <c r="F1555" s="3">
        <f t="shared" si="23"/>
        <v>921939.74571044173</v>
      </c>
      <c r="G1555" s="3">
        <f t="shared" si="22"/>
        <v>460969.87285522086</v>
      </c>
      <c r="H1555" t="s">
        <v>130</v>
      </c>
      <c r="I1555" t="s">
        <v>2644</v>
      </c>
      <c r="J1555" t="s">
        <v>3312</v>
      </c>
      <c r="K1555">
        <v>14.66</v>
      </c>
      <c r="L1555">
        <v>2.5009999999999999</v>
      </c>
      <c r="M1555" s="1">
        <v>100</v>
      </c>
      <c r="N1555" s="1" t="s">
        <v>3000</v>
      </c>
    </row>
    <row r="1556" spans="1:14" x14ac:dyDescent="0.25">
      <c r="A1556" t="s">
        <v>3081</v>
      </c>
      <c r="B1556" t="s">
        <v>2105</v>
      </c>
      <c r="C1556" t="s">
        <v>3362</v>
      </c>
      <c r="D1556" s="2">
        <v>2.7027185845165599E-2</v>
      </c>
      <c r="E1556" s="3">
        <v>7285631.6210826896</v>
      </c>
      <c r="F1556" s="3">
        <f t="shared" si="23"/>
        <v>1214271.9368471149</v>
      </c>
      <c r="G1556" s="3">
        <f t="shared" si="22"/>
        <v>607135.96842355747</v>
      </c>
      <c r="H1556" t="s">
        <v>150</v>
      </c>
      <c r="I1556" t="s">
        <v>3343</v>
      </c>
      <c r="J1556" t="s">
        <v>947</v>
      </c>
      <c r="K1556">
        <v>14.03</v>
      </c>
      <c r="L1556">
        <v>2.6139999999999999</v>
      </c>
      <c r="M1556" s="1">
        <v>100</v>
      </c>
      <c r="N1556" s="1" t="s">
        <v>3000</v>
      </c>
    </row>
    <row r="1557" spans="1:14" x14ac:dyDescent="0.25">
      <c r="A1557" t="s">
        <v>3007</v>
      </c>
      <c r="B1557" t="s">
        <v>2105</v>
      </c>
      <c r="C1557" t="s">
        <v>3362</v>
      </c>
      <c r="D1557" s="2">
        <v>2.8328300069682701E-2</v>
      </c>
      <c r="E1557" s="3">
        <v>3838392.9803442298</v>
      </c>
      <c r="F1557" s="3">
        <f t="shared" si="23"/>
        <v>639732.16339070501</v>
      </c>
      <c r="G1557" s="3">
        <f t="shared" si="22"/>
        <v>319866.08169535251</v>
      </c>
      <c r="H1557" t="s">
        <v>130</v>
      </c>
      <c r="I1557" t="s">
        <v>3112</v>
      </c>
      <c r="J1557" t="s">
        <v>509</v>
      </c>
      <c r="K1557">
        <v>10.84</v>
      </c>
      <c r="L1557">
        <v>2.6320000000000001</v>
      </c>
      <c r="M1557" s="1">
        <v>100</v>
      </c>
      <c r="N1557" s="1" t="s">
        <v>3000</v>
      </c>
    </row>
    <row r="1558" spans="1:14" x14ac:dyDescent="0.25">
      <c r="A1558" t="s">
        <v>1609</v>
      </c>
      <c r="B1558" t="s">
        <v>2104</v>
      </c>
      <c r="C1558" t="s">
        <v>2103</v>
      </c>
      <c r="D1558" s="2" t="s">
        <v>20</v>
      </c>
      <c r="E1558" s="3">
        <v>0</v>
      </c>
      <c r="H1558" t="s">
        <v>17</v>
      </c>
      <c r="I1558" t="s">
        <v>201</v>
      </c>
      <c r="J1558" t="s">
        <v>17</v>
      </c>
      <c r="K1558">
        <v>10.46</v>
      </c>
      <c r="L1558">
        <v>2.5289999999999999</v>
      </c>
      <c r="M1558" s="1" t="s">
        <v>20</v>
      </c>
      <c r="N1558" s="1" t="s">
        <v>3658</v>
      </c>
    </row>
    <row r="1559" spans="1:14" x14ac:dyDescent="0.25">
      <c r="A1559" t="s">
        <v>2102</v>
      </c>
      <c r="B1559" t="s">
        <v>2104</v>
      </c>
      <c r="C1559" t="s">
        <v>2103</v>
      </c>
      <c r="D1559" s="2" t="s">
        <v>20</v>
      </c>
      <c r="E1559" s="3">
        <v>0</v>
      </c>
      <c r="H1559" t="s">
        <v>56</v>
      </c>
      <c r="I1559" t="s">
        <v>201</v>
      </c>
      <c r="J1559" t="s">
        <v>56</v>
      </c>
      <c r="K1559">
        <v>10.46</v>
      </c>
      <c r="L1559">
        <v>2.5920000000000001</v>
      </c>
      <c r="M1559" s="1" t="s">
        <v>20</v>
      </c>
      <c r="N1559" s="1" t="s">
        <v>3658</v>
      </c>
    </row>
    <row r="1560" spans="1:14" x14ac:dyDescent="0.25">
      <c r="A1560" t="s">
        <v>3433</v>
      </c>
      <c r="B1560" t="s">
        <v>2104</v>
      </c>
      <c r="C1560" t="s">
        <v>2103</v>
      </c>
      <c r="D1560" s="2">
        <v>6.8228599882885002E-2</v>
      </c>
      <c r="E1560" s="3">
        <v>4135584.0595708801</v>
      </c>
      <c r="H1560" t="s">
        <v>169</v>
      </c>
      <c r="I1560" t="s">
        <v>884</v>
      </c>
      <c r="J1560" t="s">
        <v>1551</v>
      </c>
      <c r="K1560">
        <v>13.39</v>
      </c>
      <c r="L1560">
        <v>2.6019999999999999</v>
      </c>
      <c r="M1560" s="1">
        <v>1000</v>
      </c>
      <c r="N1560" s="1" t="s">
        <v>3658</v>
      </c>
    </row>
    <row r="1561" spans="1:14" x14ac:dyDescent="0.25">
      <c r="A1561" t="s">
        <v>3431</v>
      </c>
      <c r="B1561" t="s">
        <v>2104</v>
      </c>
      <c r="C1561" t="s">
        <v>2103</v>
      </c>
      <c r="D1561" s="2">
        <v>5.0018652550234598E-2</v>
      </c>
      <c r="E1561" s="3">
        <v>8130623.06827683</v>
      </c>
      <c r="H1561" t="s">
        <v>130</v>
      </c>
      <c r="I1561" t="s">
        <v>80</v>
      </c>
      <c r="J1561" t="s">
        <v>1089</v>
      </c>
      <c r="K1561">
        <v>13.39</v>
      </c>
      <c r="L1561">
        <v>2.5910000000000002</v>
      </c>
      <c r="M1561" s="1">
        <v>1000</v>
      </c>
      <c r="N1561" s="1" t="s">
        <v>3658</v>
      </c>
    </row>
    <row r="1562" spans="1:14" x14ac:dyDescent="0.25">
      <c r="A1562" t="s">
        <v>3432</v>
      </c>
      <c r="B1562" t="s">
        <v>2104</v>
      </c>
      <c r="C1562" t="s">
        <v>2103</v>
      </c>
      <c r="D1562" s="2" t="s">
        <v>20</v>
      </c>
      <c r="E1562" s="3">
        <v>0</v>
      </c>
      <c r="H1562" t="s">
        <v>76</v>
      </c>
      <c r="I1562" t="s">
        <v>201</v>
      </c>
      <c r="J1562" t="s">
        <v>76</v>
      </c>
      <c r="K1562">
        <v>13.01</v>
      </c>
      <c r="L1562">
        <v>2.5960000000000001</v>
      </c>
      <c r="M1562" s="1">
        <v>1000</v>
      </c>
      <c r="N1562" s="1" t="s">
        <v>3658</v>
      </c>
    </row>
    <row r="1563" spans="1:14" x14ac:dyDescent="0.25">
      <c r="A1563" t="s">
        <v>10</v>
      </c>
      <c r="B1563" t="s">
        <v>2104</v>
      </c>
      <c r="C1563" t="s">
        <v>2103</v>
      </c>
      <c r="D1563" s="2" t="s">
        <v>20</v>
      </c>
      <c r="E1563" s="3" t="s">
        <v>20</v>
      </c>
      <c r="H1563" t="s">
        <v>347</v>
      </c>
      <c r="I1563" t="s">
        <v>201</v>
      </c>
      <c r="J1563" t="s">
        <v>347</v>
      </c>
      <c r="K1563">
        <v>11.73</v>
      </c>
      <c r="L1563">
        <v>2.645</v>
      </c>
      <c r="M1563" s="1" t="s">
        <v>20</v>
      </c>
      <c r="N1563" s="1" t="s">
        <v>3658</v>
      </c>
    </row>
    <row r="1564" spans="1:14" x14ac:dyDescent="0.25">
      <c r="A1564" t="s">
        <v>3413</v>
      </c>
      <c r="B1564" t="s">
        <v>2104</v>
      </c>
      <c r="C1564" t="s">
        <v>2103</v>
      </c>
      <c r="D1564" s="2">
        <v>7.4531338414122406E-2</v>
      </c>
      <c r="E1564" s="3">
        <v>347243.39463216101</v>
      </c>
      <c r="H1564" t="s">
        <v>294</v>
      </c>
      <c r="I1564" t="s">
        <v>3580</v>
      </c>
      <c r="J1564" t="s">
        <v>3581</v>
      </c>
      <c r="K1564">
        <v>15.94</v>
      </c>
      <c r="L1564">
        <v>2.5659999999999998</v>
      </c>
      <c r="M1564" s="1">
        <v>100</v>
      </c>
      <c r="N1564" s="1" t="s">
        <v>3658</v>
      </c>
    </row>
    <row r="1565" spans="1:14" x14ac:dyDescent="0.25">
      <c r="A1565" t="s">
        <v>1620</v>
      </c>
      <c r="B1565" t="s">
        <v>2104</v>
      </c>
      <c r="C1565" t="s">
        <v>2103</v>
      </c>
      <c r="D1565" s="2">
        <v>0.119507189131491</v>
      </c>
      <c r="E1565" s="3">
        <v>13362.5718088912</v>
      </c>
      <c r="H1565" t="s">
        <v>71</v>
      </c>
      <c r="I1565" t="s">
        <v>3619</v>
      </c>
      <c r="J1565" t="s">
        <v>1180</v>
      </c>
      <c r="K1565">
        <v>12.11</v>
      </c>
      <c r="L1565">
        <v>2.5289999999999999</v>
      </c>
      <c r="M1565" s="1">
        <v>10</v>
      </c>
      <c r="N1565" s="1" t="s">
        <v>3658</v>
      </c>
    </row>
    <row r="1566" spans="1:14" x14ac:dyDescent="0.25">
      <c r="A1566" t="s">
        <v>3414</v>
      </c>
      <c r="B1566" t="s">
        <v>2104</v>
      </c>
      <c r="C1566" t="s">
        <v>2103</v>
      </c>
      <c r="D1566" s="2">
        <v>5.0398272822602397E-2</v>
      </c>
      <c r="E1566" s="3">
        <v>864010.74401068897</v>
      </c>
      <c r="H1566" t="s">
        <v>3129</v>
      </c>
      <c r="I1566" t="s">
        <v>3582</v>
      </c>
      <c r="J1566" t="s">
        <v>3583</v>
      </c>
      <c r="K1566">
        <v>17.21</v>
      </c>
      <c r="L1566">
        <v>2.4660000000000002</v>
      </c>
      <c r="M1566" s="1">
        <v>100</v>
      </c>
      <c r="N1566" s="1" t="s">
        <v>3658</v>
      </c>
    </row>
    <row r="1567" spans="1:14" x14ac:dyDescent="0.25">
      <c r="A1567" t="s">
        <v>1624</v>
      </c>
      <c r="B1567" t="s">
        <v>2104</v>
      </c>
      <c r="C1567" t="s">
        <v>2103</v>
      </c>
      <c r="D1567" s="2">
        <v>2.6872141349870201E-2</v>
      </c>
      <c r="E1567" s="3">
        <v>5654753.9097756399</v>
      </c>
      <c r="H1567" t="s">
        <v>62</v>
      </c>
      <c r="I1567" t="s">
        <v>3593</v>
      </c>
      <c r="J1567" t="s">
        <v>3594</v>
      </c>
      <c r="K1567">
        <v>13.39</v>
      </c>
      <c r="L1567">
        <v>2.6269999999999998</v>
      </c>
      <c r="M1567" s="1">
        <v>100</v>
      </c>
      <c r="N1567" s="1" t="s">
        <v>3658</v>
      </c>
    </row>
    <row r="1568" spans="1:14" x14ac:dyDescent="0.25">
      <c r="A1568" t="s">
        <v>3419</v>
      </c>
      <c r="B1568" t="s">
        <v>2104</v>
      </c>
      <c r="C1568" t="s">
        <v>2103</v>
      </c>
      <c r="D1568" s="2">
        <v>3.2464517150920198E-2</v>
      </c>
      <c r="E1568" s="3">
        <v>2496306.69855393</v>
      </c>
      <c r="H1568" t="s">
        <v>71</v>
      </c>
      <c r="I1568" t="s">
        <v>3602</v>
      </c>
      <c r="J1568" t="s">
        <v>956</v>
      </c>
      <c r="K1568">
        <v>14.66</v>
      </c>
      <c r="L1568">
        <v>2.4820000000000002</v>
      </c>
      <c r="M1568" s="1">
        <v>100</v>
      </c>
      <c r="N1568" s="1" t="s">
        <v>3658</v>
      </c>
    </row>
    <row r="1569" spans="1:14" x14ac:dyDescent="0.25">
      <c r="A1569" t="s">
        <v>3416</v>
      </c>
      <c r="B1569" t="s">
        <v>2104</v>
      </c>
      <c r="C1569" t="s">
        <v>2103</v>
      </c>
      <c r="D1569" s="2">
        <v>4.6014846199365203E-2</v>
      </c>
      <c r="E1569" s="3">
        <v>979074.78400693403</v>
      </c>
      <c r="H1569" t="s">
        <v>41</v>
      </c>
      <c r="I1569" t="s">
        <v>3507</v>
      </c>
      <c r="J1569" t="s">
        <v>2839</v>
      </c>
      <c r="K1569">
        <v>14.03</v>
      </c>
      <c r="L1569">
        <v>2.6219999999999999</v>
      </c>
      <c r="M1569" s="1">
        <v>100</v>
      </c>
      <c r="N1569" s="1" t="s">
        <v>3658</v>
      </c>
    </row>
    <row r="1570" spans="1:14" x14ac:dyDescent="0.25">
      <c r="A1570" t="s">
        <v>3663</v>
      </c>
      <c r="B1570" t="s">
        <v>2104</v>
      </c>
      <c r="C1570" t="s">
        <v>2103</v>
      </c>
      <c r="D1570" s="2">
        <v>3.3042848521839398E-2</v>
      </c>
      <c r="E1570" s="3">
        <v>2361870.0510310801</v>
      </c>
      <c r="H1570" t="s">
        <v>297</v>
      </c>
      <c r="I1570" t="s">
        <v>3603</v>
      </c>
      <c r="J1570" t="s">
        <v>3604</v>
      </c>
      <c r="K1570">
        <v>12.11</v>
      </c>
      <c r="L1570">
        <v>2.4830000000000001</v>
      </c>
      <c r="M1570" s="1">
        <v>100</v>
      </c>
      <c r="N1570" s="1" t="s">
        <v>3658</v>
      </c>
    </row>
    <row r="1571" spans="1:14" x14ac:dyDescent="0.25">
      <c r="A1571" t="s">
        <v>3423</v>
      </c>
      <c r="B1571" t="s">
        <v>2104</v>
      </c>
      <c r="C1571" t="s">
        <v>2103</v>
      </c>
      <c r="D1571" s="2">
        <v>3.0782417633891099E-2</v>
      </c>
      <c r="E1571" s="3">
        <v>2951425.6441613599</v>
      </c>
      <c r="H1571" t="s">
        <v>324</v>
      </c>
      <c r="I1571" t="s">
        <v>3318</v>
      </c>
      <c r="J1571" t="s">
        <v>3317</v>
      </c>
      <c r="K1571">
        <v>12.11</v>
      </c>
      <c r="L1571">
        <v>2.48</v>
      </c>
      <c r="M1571" s="1">
        <v>100</v>
      </c>
      <c r="N1571" s="1" t="s">
        <v>3658</v>
      </c>
    </row>
    <row r="1572" spans="1:14" x14ac:dyDescent="0.25">
      <c r="A1572" t="s">
        <v>3410</v>
      </c>
      <c r="B1572" t="s">
        <v>2104</v>
      </c>
      <c r="C1572" t="s">
        <v>2103</v>
      </c>
      <c r="D1572" s="2">
        <v>3.96113023605301E-2</v>
      </c>
      <c r="E1572" s="3">
        <v>15073430.9329581</v>
      </c>
      <c r="H1572" t="s">
        <v>41</v>
      </c>
      <c r="I1572" t="s">
        <v>1393</v>
      </c>
      <c r="J1572" t="s">
        <v>3568</v>
      </c>
      <c r="K1572">
        <v>12.75</v>
      </c>
      <c r="L1572">
        <v>2.4319999999999999</v>
      </c>
      <c r="M1572" s="1">
        <v>1000</v>
      </c>
      <c r="N1572" s="1" t="s">
        <v>3658</v>
      </c>
    </row>
    <row r="1573" spans="1:14" x14ac:dyDescent="0.25">
      <c r="A1573" t="s">
        <v>3425</v>
      </c>
      <c r="B1573" t="s">
        <v>2104</v>
      </c>
      <c r="C1573" t="s">
        <v>2103</v>
      </c>
      <c r="D1573" s="2">
        <v>8.0302924501930606E-2</v>
      </c>
      <c r="E1573" s="3">
        <v>30581.9093714765</v>
      </c>
      <c r="H1573" t="s">
        <v>207</v>
      </c>
      <c r="I1573" t="s">
        <v>3180</v>
      </c>
      <c r="J1573" t="s">
        <v>861</v>
      </c>
      <c r="K1573">
        <v>14.03</v>
      </c>
      <c r="L1573">
        <v>2.4969999999999999</v>
      </c>
      <c r="M1573" s="1">
        <v>10</v>
      </c>
      <c r="N1573" s="1" t="s">
        <v>3658</v>
      </c>
    </row>
    <row r="1574" spans="1:14" x14ac:dyDescent="0.25">
      <c r="A1574" t="s">
        <v>3428</v>
      </c>
      <c r="B1574" t="s">
        <v>2104</v>
      </c>
      <c r="C1574" t="s">
        <v>2103</v>
      </c>
      <c r="D1574" s="2">
        <v>3.4636348730719801E-2</v>
      </c>
      <c r="E1574" s="3">
        <v>206884.90688981701</v>
      </c>
      <c r="H1574" t="s">
        <v>3647</v>
      </c>
      <c r="I1574" t="s">
        <v>3648</v>
      </c>
      <c r="J1574" t="s">
        <v>3649</v>
      </c>
      <c r="K1574">
        <v>12.75</v>
      </c>
      <c r="L1574">
        <v>2.625</v>
      </c>
      <c r="M1574" s="1">
        <v>10</v>
      </c>
      <c r="N1574" s="1" t="s">
        <v>3658</v>
      </c>
    </row>
    <row r="1575" spans="1:14" x14ac:dyDescent="0.25">
      <c r="A1575" t="s">
        <v>1735</v>
      </c>
      <c r="B1575" t="s">
        <v>2104</v>
      </c>
      <c r="C1575" t="s">
        <v>2103</v>
      </c>
      <c r="D1575" s="2">
        <v>2.68387233283497E-2</v>
      </c>
      <c r="E1575" s="3">
        <v>6585628.8386831097</v>
      </c>
      <c r="H1575" t="s">
        <v>62</v>
      </c>
      <c r="I1575" t="s">
        <v>3576</v>
      </c>
      <c r="J1575" t="s">
        <v>3577</v>
      </c>
      <c r="K1575">
        <v>10.84</v>
      </c>
      <c r="L1575">
        <v>2.6139999999999999</v>
      </c>
      <c r="M1575" s="1">
        <v>100</v>
      </c>
      <c r="N1575" s="1" t="s">
        <v>3658</v>
      </c>
    </row>
    <row r="1576" spans="1:14" x14ac:dyDescent="0.25">
      <c r="A1576" t="s">
        <v>3420</v>
      </c>
      <c r="B1576" t="s">
        <v>2104</v>
      </c>
      <c r="C1576" t="s">
        <v>2103</v>
      </c>
      <c r="D1576" s="2">
        <v>3.1851098011267197E-2</v>
      </c>
      <c r="E1576" s="3">
        <v>2699330.6533022602</v>
      </c>
      <c r="H1576" t="s">
        <v>71</v>
      </c>
      <c r="I1576" t="s">
        <v>3607</v>
      </c>
      <c r="J1576" t="s">
        <v>3608</v>
      </c>
      <c r="K1576">
        <v>14.03</v>
      </c>
      <c r="L1576">
        <v>2.4329999999999998</v>
      </c>
      <c r="M1576" s="1">
        <v>100</v>
      </c>
      <c r="N1576" s="1" t="s">
        <v>3658</v>
      </c>
    </row>
    <row r="1577" spans="1:14" x14ac:dyDescent="0.25">
      <c r="A1577" t="s">
        <v>3418</v>
      </c>
      <c r="B1577" t="s">
        <v>2104</v>
      </c>
      <c r="C1577" t="s">
        <v>2103</v>
      </c>
      <c r="D1577" s="2" t="s">
        <v>20</v>
      </c>
      <c r="E1577" s="3">
        <v>0</v>
      </c>
      <c r="H1577" t="s">
        <v>124</v>
      </c>
      <c r="I1577" t="s">
        <v>201</v>
      </c>
      <c r="J1577" t="s">
        <v>124</v>
      </c>
      <c r="K1577">
        <v>20.66</v>
      </c>
      <c r="L1577">
        <v>2.4660000000000002</v>
      </c>
      <c r="M1577" s="1" t="s">
        <v>20</v>
      </c>
      <c r="N1577" s="1" t="s">
        <v>3658</v>
      </c>
    </row>
    <row r="1578" spans="1:14" x14ac:dyDescent="0.25">
      <c r="A1578" t="s">
        <v>1762</v>
      </c>
      <c r="B1578" t="s">
        <v>2104</v>
      </c>
      <c r="C1578" t="s">
        <v>2103</v>
      </c>
      <c r="D1578" s="2">
        <v>2.7806193010435899E-2</v>
      </c>
      <c r="E1578" s="3">
        <v>447233.323986342</v>
      </c>
      <c r="H1578" t="s">
        <v>124</v>
      </c>
      <c r="I1578" t="s">
        <v>3204</v>
      </c>
      <c r="J1578" t="s">
        <v>2928</v>
      </c>
      <c r="K1578">
        <v>12.11</v>
      </c>
      <c r="L1578">
        <v>2.4830000000000001</v>
      </c>
      <c r="M1578" s="1">
        <v>10</v>
      </c>
      <c r="N1578" s="1" t="s">
        <v>3658</v>
      </c>
    </row>
    <row r="1579" spans="1:14" x14ac:dyDescent="0.25">
      <c r="A1579" t="s">
        <v>3417</v>
      </c>
      <c r="B1579" t="s">
        <v>2104</v>
      </c>
      <c r="C1579" t="s">
        <v>2103</v>
      </c>
      <c r="D1579" s="2">
        <v>2.9030349944373202E-2</v>
      </c>
      <c r="E1579" s="3">
        <v>3579450.7336003901</v>
      </c>
      <c r="H1579" t="s">
        <v>71</v>
      </c>
      <c r="I1579" t="s">
        <v>1013</v>
      </c>
      <c r="J1579" t="s">
        <v>3462</v>
      </c>
      <c r="K1579">
        <v>14.66</v>
      </c>
      <c r="L1579">
        <v>2.5379999999999998</v>
      </c>
      <c r="M1579" s="1">
        <v>100</v>
      </c>
      <c r="N1579" s="1" t="s">
        <v>3658</v>
      </c>
    </row>
    <row r="1580" spans="1:14" x14ac:dyDescent="0.25">
      <c r="A1580" t="s">
        <v>3411</v>
      </c>
      <c r="B1580" t="s">
        <v>2104</v>
      </c>
      <c r="C1580" t="s">
        <v>2103</v>
      </c>
      <c r="D1580" s="2">
        <v>4.1018463432721301E-2</v>
      </c>
      <c r="E1580" s="3">
        <v>137885.623206369</v>
      </c>
      <c r="H1580" t="s">
        <v>358</v>
      </c>
      <c r="I1580" t="s">
        <v>3570</v>
      </c>
      <c r="J1580" t="s">
        <v>191</v>
      </c>
      <c r="K1580">
        <v>12.11</v>
      </c>
      <c r="L1580">
        <v>2.4300000000000002</v>
      </c>
      <c r="M1580" s="1">
        <v>10</v>
      </c>
      <c r="N1580" s="1" t="s">
        <v>3658</v>
      </c>
    </row>
    <row r="1581" spans="1:14" x14ac:dyDescent="0.25">
      <c r="A1581" t="s">
        <v>1804</v>
      </c>
      <c r="B1581" t="s">
        <v>2104</v>
      </c>
      <c r="C1581" t="s">
        <v>2103</v>
      </c>
      <c r="D1581" s="2">
        <v>3.7795134701045702E-2</v>
      </c>
      <c r="E1581" s="3">
        <v>1585873.5270978101</v>
      </c>
      <c r="H1581" t="s">
        <v>3631</v>
      </c>
      <c r="I1581" t="s">
        <v>3632</v>
      </c>
      <c r="J1581" t="s">
        <v>3633</v>
      </c>
      <c r="K1581">
        <v>13.39</v>
      </c>
      <c r="L1581">
        <v>2.6219999999999999</v>
      </c>
      <c r="M1581" s="1">
        <v>100</v>
      </c>
      <c r="N1581" s="1" t="s">
        <v>3658</v>
      </c>
    </row>
    <row r="1582" spans="1:14" x14ac:dyDescent="0.25">
      <c r="A1582" t="s">
        <v>1805</v>
      </c>
      <c r="B1582" t="s">
        <v>2104</v>
      </c>
      <c r="C1582" t="s">
        <v>2103</v>
      </c>
      <c r="D1582" s="2">
        <v>3.3467042909845097E-2</v>
      </c>
      <c r="E1582" s="3">
        <v>225182.541727292</v>
      </c>
      <c r="H1582" t="s">
        <v>297</v>
      </c>
      <c r="I1582" t="s">
        <v>3638</v>
      </c>
      <c r="J1582" t="s">
        <v>3639</v>
      </c>
      <c r="K1582">
        <v>12.75</v>
      </c>
      <c r="L1582">
        <v>2.5099999999999998</v>
      </c>
      <c r="M1582" s="1">
        <v>10</v>
      </c>
      <c r="N1582" s="1" t="s">
        <v>3658</v>
      </c>
    </row>
    <row r="1583" spans="1:14" x14ac:dyDescent="0.25">
      <c r="A1583" t="s">
        <v>3427</v>
      </c>
      <c r="B1583" t="s">
        <v>2104</v>
      </c>
      <c r="C1583" t="s">
        <v>2103</v>
      </c>
      <c r="D1583" s="2">
        <v>3.7503546315885102E-2</v>
      </c>
      <c r="E1583" s="3">
        <v>165489.22110442599</v>
      </c>
      <c r="H1583" t="s">
        <v>3642</v>
      </c>
      <c r="I1583" t="s">
        <v>3643</v>
      </c>
      <c r="J1583" t="s">
        <v>3644</v>
      </c>
      <c r="K1583">
        <v>13.39</v>
      </c>
      <c r="L1583">
        <v>2.5590000000000002</v>
      </c>
      <c r="M1583" s="1">
        <v>10</v>
      </c>
      <c r="N1583" s="1" t="s">
        <v>3658</v>
      </c>
    </row>
    <row r="1584" spans="1:14" x14ac:dyDescent="0.25">
      <c r="A1584" t="s">
        <v>3430</v>
      </c>
      <c r="B1584" t="s">
        <v>2104</v>
      </c>
      <c r="C1584" t="s">
        <v>2103</v>
      </c>
      <c r="D1584" s="2">
        <v>4.0778024843013801E-2</v>
      </c>
      <c r="E1584" s="3">
        <v>1301425.5260220501</v>
      </c>
      <c r="H1584" t="s">
        <v>259</v>
      </c>
      <c r="I1584" t="s">
        <v>3177</v>
      </c>
      <c r="J1584" t="s">
        <v>2870</v>
      </c>
      <c r="K1584">
        <v>15.94</v>
      </c>
      <c r="L1584">
        <v>2.62</v>
      </c>
      <c r="M1584" s="1">
        <v>100</v>
      </c>
      <c r="N1584" s="1" t="s">
        <v>3658</v>
      </c>
    </row>
    <row r="1585" spans="1:14" x14ac:dyDescent="0.25">
      <c r="A1585" t="s">
        <v>3008</v>
      </c>
      <c r="B1585" t="s">
        <v>2104</v>
      </c>
      <c r="C1585" t="s">
        <v>2103</v>
      </c>
      <c r="D1585" s="2">
        <v>3.4169269475762203E-2</v>
      </c>
      <c r="E1585" s="3">
        <v>2017336.77272118</v>
      </c>
      <c r="H1585" t="s">
        <v>45</v>
      </c>
      <c r="I1585" t="s">
        <v>3434</v>
      </c>
      <c r="J1585" t="s">
        <v>1535</v>
      </c>
      <c r="K1585">
        <v>15.3</v>
      </c>
      <c r="L1585">
        <v>2.6539999999999999</v>
      </c>
      <c r="M1585" s="1">
        <v>100</v>
      </c>
      <c r="N1585" s="1" t="s">
        <v>3658</v>
      </c>
    </row>
    <row r="1586" spans="1:14" x14ac:dyDescent="0.25">
      <c r="A1586" t="s">
        <v>3365</v>
      </c>
      <c r="B1586" t="s">
        <v>2104</v>
      </c>
      <c r="C1586" t="s">
        <v>2103</v>
      </c>
      <c r="D1586" s="2">
        <v>3.5048923098064899E-2</v>
      </c>
      <c r="E1586" s="3">
        <v>1870708.7770589001</v>
      </c>
      <c r="H1586" t="s">
        <v>435</v>
      </c>
      <c r="I1586" t="s">
        <v>3437</v>
      </c>
      <c r="J1586" t="s">
        <v>3438</v>
      </c>
      <c r="K1586">
        <v>14.66</v>
      </c>
      <c r="L1586">
        <v>2.6989999999999998</v>
      </c>
      <c r="M1586" s="1">
        <v>100</v>
      </c>
      <c r="N1586" s="1" t="s">
        <v>3658</v>
      </c>
    </row>
    <row r="1587" spans="1:14" x14ac:dyDescent="0.25">
      <c r="A1587" t="s">
        <v>3366</v>
      </c>
      <c r="B1587" t="s">
        <v>2104</v>
      </c>
      <c r="C1587" t="s">
        <v>2103</v>
      </c>
      <c r="D1587" s="2">
        <v>3.2387662978270698E-2</v>
      </c>
      <c r="E1587" s="3">
        <v>2319267.5756027899</v>
      </c>
      <c r="H1587" t="s">
        <v>91</v>
      </c>
      <c r="I1587" t="s">
        <v>801</v>
      </c>
      <c r="J1587" t="s">
        <v>3441</v>
      </c>
      <c r="K1587">
        <v>12.11</v>
      </c>
      <c r="L1587">
        <v>2.6960000000000002</v>
      </c>
      <c r="M1587" s="1">
        <v>100</v>
      </c>
      <c r="N1587" s="1" t="s">
        <v>3658</v>
      </c>
    </row>
    <row r="1588" spans="1:14" x14ac:dyDescent="0.25">
      <c r="A1588" t="s">
        <v>3367</v>
      </c>
      <c r="B1588" t="s">
        <v>2104</v>
      </c>
      <c r="C1588" t="s">
        <v>2103</v>
      </c>
      <c r="D1588" s="2">
        <v>2.9133925896502301E-2</v>
      </c>
      <c r="E1588" s="3">
        <v>3351291.5020111999</v>
      </c>
      <c r="H1588" t="s">
        <v>130</v>
      </c>
      <c r="I1588" t="s">
        <v>3444</v>
      </c>
      <c r="J1588" t="s">
        <v>1547</v>
      </c>
      <c r="K1588">
        <v>15.94</v>
      </c>
      <c r="L1588">
        <v>2.67</v>
      </c>
      <c r="M1588" s="1">
        <v>100</v>
      </c>
      <c r="N1588" s="1" t="s">
        <v>3658</v>
      </c>
    </row>
    <row r="1589" spans="1:14" x14ac:dyDescent="0.25">
      <c r="A1589" t="s">
        <v>3368</v>
      </c>
      <c r="B1589" t="s">
        <v>2104</v>
      </c>
      <c r="C1589" t="s">
        <v>2103</v>
      </c>
      <c r="D1589" s="2">
        <v>3.4971104807881098E-2</v>
      </c>
      <c r="E1589" s="3">
        <v>1883194.76389652</v>
      </c>
      <c r="H1589" t="s">
        <v>706</v>
      </c>
      <c r="I1589" t="s">
        <v>3446</v>
      </c>
      <c r="J1589" t="s">
        <v>3447</v>
      </c>
      <c r="K1589">
        <v>12.75</v>
      </c>
      <c r="L1589">
        <v>2.6970000000000001</v>
      </c>
      <c r="M1589" s="1">
        <v>100</v>
      </c>
      <c r="N1589" s="1" t="s">
        <v>3658</v>
      </c>
    </row>
    <row r="1590" spans="1:14" x14ac:dyDescent="0.25">
      <c r="A1590" t="s">
        <v>3369</v>
      </c>
      <c r="B1590" t="s">
        <v>2104</v>
      </c>
      <c r="C1590" t="s">
        <v>2103</v>
      </c>
      <c r="D1590" s="2">
        <v>4.6793670001726399E-2</v>
      </c>
      <c r="E1590" s="3">
        <v>915684.315093557</v>
      </c>
      <c r="H1590" t="s">
        <v>115</v>
      </c>
      <c r="I1590" t="s">
        <v>3450</v>
      </c>
      <c r="J1590" t="s">
        <v>3451</v>
      </c>
      <c r="K1590">
        <v>17.21</v>
      </c>
      <c r="L1590">
        <v>2.6829999999999998</v>
      </c>
      <c r="M1590" s="1">
        <v>100</v>
      </c>
      <c r="N1590" s="1" t="s">
        <v>3658</v>
      </c>
    </row>
    <row r="1591" spans="1:14" x14ac:dyDescent="0.25">
      <c r="A1591" t="s">
        <v>3370</v>
      </c>
      <c r="B1591" t="s">
        <v>2104</v>
      </c>
      <c r="C1591" t="s">
        <v>2103</v>
      </c>
      <c r="D1591" s="2">
        <v>2.6788555861340199E-2</v>
      </c>
      <c r="E1591" s="3">
        <v>5975140.3765400397</v>
      </c>
      <c r="H1591" t="s">
        <v>162</v>
      </c>
      <c r="I1591" t="s">
        <v>3453</v>
      </c>
      <c r="J1591" t="s">
        <v>2798</v>
      </c>
      <c r="K1591">
        <v>14.66</v>
      </c>
      <c r="L1591">
        <v>2.7010000000000001</v>
      </c>
      <c r="M1591" s="1">
        <v>100</v>
      </c>
      <c r="N1591" s="1" t="s">
        <v>3658</v>
      </c>
    </row>
    <row r="1592" spans="1:14" x14ac:dyDescent="0.25">
      <c r="A1592" t="s">
        <v>3371</v>
      </c>
      <c r="B1592" t="s">
        <v>2104</v>
      </c>
      <c r="C1592" t="s">
        <v>2103</v>
      </c>
      <c r="D1592" s="2">
        <v>8.5801371689624206E-2</v>
      </c>
      <c r="E1592" s="3">
        <v>251158.67911824599</v>
      </c>
      <c r="H1592" t="s">
        <v>232</v>
      </c>
      <c r="I1592" t="s">
        <v>3456</v>
      </c>
      <c r="J1592" t="s">
        <v>3457</v>
      </c>
      <c r="K1592">
        <v>16.579999999999998</v>
      </c>
      <c r="L1592">
        <v>2.65</v>
      </c>
      <c r="M1592" s="1">
        <v>100</v>
      </c>
      <c r="N1592" s="1" t="s">
        <v>3658</v>
      </c>
    </row>
    <row r="1593" spans="1:14" x14ac:dyDescent="0.25">
      <c r="A1593" t="s">
        <v>3372</v>
      </c>
      <c r="B1593" t="s">
        <v>2104</v>
      </c>
      <c r="C1593" t="s">
        <v>2103</v>
      </c>
      <c r="D1593" s="2">
        <v>2.68047233898316E-2</v>
      </c>
      <c r="E1593" s="3">
        <v>6362250.9127047304</v>
      </c>
      <c r="H1593" t="s">
        <v>207</v>
      </c>
      <c r="I1593" t="s">
        <v>3459</v>
      </c>
      <c r="J1593" t="s">
        <v>3460</v>
      </c>
      <c r="K1593">
        <v>11.48</v>
      </c>
      <c r="L1593">
        <v>2.6440000000000001</v>
      </c>
      <c r="M1593" s="1">
        <v>100</v>
      </c>
      <c r="N1593" s="1" t="s">
        <v>3658</v>
      </c>
    </row>
    <row r="1594" spans="1:14" x14ac:dyDescent="0.25">
      <c r="A1594" t="s">
        <v>3373</v>
      </c>
      <c r="B1594" t="s">
        <v>2104</v>
      </c>
      <c r="C1594" t="s">
        <v>2103</v>
      </c>
      <c r="D1594" s="2">
        <v>3.4037063597558599E-2</v>
      </c>
      <c r="E1594" s="3">
        <v>2068491.2058592699</v>
      </c>
      <c r="H1594" t="s">
        <v>280</v>
      </c>
      <c r="I1594" t="s">
        <v>3462</v>
      </c>
      <c r="J1594" t="s">
        <v>1229</v>
      </c>
      <c r="K1594">
        <v>12.75</v>
      </c>
      <c r="L1594">
        <v>2.6179999999999999</v>
      </c>
      <c r="M1594" s="1">
        <v>100</v>
      </c>
      <c r="N1594" s="1" t="s">
        <v>3658</v>
      </c>
    </row>
    <row r="1595" spans="1:14" x14ac:dyDescent="0.25">
      <c r="A1595" t="s">
        <v>3374</v>
      </c>
      <c r="B1595" t="s">
        <v>2104</v>
      </c>
      <c r="C1595" t="s">
        <v>2103</v>
      </c>
      <c r="D1595" s="2">
        <v>2.7792787667541299E-2</v>
      </c>
      <c r="E1595" s="3">
        <v>4324830.0561569901</v>
      </c>
      <c r="H1595" t="s">
        <v>150</v>
      </c>
      <c r="I1595" t="s">
        <v>3464</v>
      </c>
      <c r="J1595" t="s">
        <v>3465</v>
      </c>
      <c r="K1595">
        <v>13.39</v>
      </c>
      <c r="L1595">
        <v>2.5790000000000002</v>
      </c>
      <c r="M1595" s="1">
        <v>100</v>
      </c>
      <c r="N1595" s="1" t="s">
        <v>3658</v>
      </c>
    </row>
    <row r="1596" spans="1:14" x14ac:dyDescent="0.25">
      <c r="A1596" t="s">
        <v>3375</v>
      </c>
      <c r="B1596" t="s">
        <v>2104</v>
      </c>
      <c r="C1596" t="s">
        <v>2103</v>
      </c>
      <c r="D1596" s="2">
        <v>2.6793626358859901E-2</v>
      </c>
      <c r="E1596" s="3">
        <v>6430285.0930332998</v>
      </c>
      <c r="H1596" t="s">
        <v>294</v>
      </c>
      <c r="I1596" t="s">
        <v>3468</v>
      </c>
      <c r="J1596" t="s">
        <v>3469</v>
      </c>
      <c r="K1596">
        <v>12.11</v>
      </c>
      <c r="L1596">
        <v>2.637</v>
      </c>
      <c r="M1596" s="1">
        <v>100</v>
      </c>
      <c r="N1596" s="1" t="s">
        <v>3658</v>
      </c>
    </row>
    <row r="1597" spans="1:14" x14ac:dyDescent="0.25">
      <c r="A1597" t="s">
        <v>3376</v>
      </c>
      <c r="B1597" t="s">
        <v>2104</v>
      </c>
      <c r="C1597" t="s">
        <v>2103</v>
      </c>
      <c r="D1597" s="2">
        <v>3.0012207710929301E-2</v>
      </c>
      <c r="E1597" s="3">
        <v>3063684.6147874198</v>
      </c>
      <c r="H1597" t="s">
        <v>162</v>
      </c>
      <c r="I1597" t="s">
        <v>3471</v>
      </c>
      <c r="J1597" t="s">
        <v>891</v>
      </c>
      <c r="K1597">
        <v>10.84</v>
      </c>
      <c r="L1597">
        <v>2.605</v>
      </c>
      <c r="M1597" s="1">
        <v>100</v>
      </c>
      <c r="N1597" s="1" t="s">
        <v>3658</v>
      </c>
    </row>
    <row r="1598" spans="1:14" x14ac:dyDescent="0.25">
      <c r="A1598" t="s">
        <v>3377</v>
      </c>
      <c r="B1598" t="s">
        <v>2104</v>
      </c>
      <c r="C1598" t="s">
        <v>2103</v>
      </c>
      <c r="D1598" s="2">
        <v>2.70437683888539E-2</v>
      </c>
      <c r="E1598" s="3">
        <v>5158899.4966970598</v>
      </c>
      <c r="H1598" t="s">
        <v>98</v>
      </c>
      <c r="I1598" t="s">
        <v>3473</v>
      </c>
      <c r="J1598" t="s">
        <v>3474</v>
      </c>
      <c r="K1598">
        <v>12.11</v>
      </c>
      <c r="L1598">
        <v>2.613</v>
      </c>
      <c r="M1598" s="1">
        <v>100</v>
      </c>
      <c r="N1598" s="1" t="s">
        <v>3658</v>
      </c>
    </row>
    <row r="1599" spans="1:14" x14ac:dyDescent="0.25">
      <c r="A1599" t="s">
        <v>3378</v>
      </c>
      <c r="B1599" t="s">
        <v>2104</v>
      </c>
      <c r="C1599" t="s">
        <v>2103</v>
      </c>
      <c r="D1599" s="2">
        <v>3.3359060297640797E-2</v>
      </c>
      <c r="E1599" s="3">
        <v>2117638.0998997898</v>
      </c>
      <c r="H1599" t="s">
        <v>71</v>
      </c>
      <c r="I1599" t="s">
        <v>3476</v>
      </c>
      <c r="J1599" t="s">
        <v>3477</v>
      </c>
      <c r="K1599">
        <v>14.66</v>
      </c>
      <c r="L1599">
        <v>2.7010000000000001</v>
      </c>
      <c r="M1599" s="1">
        <v>100</v>
      </c>
      <c r="N1599" s="1" t="s">
        <v>3658</v>
      </c>
    </row>
    <row r="1600" spans="1:14" x14ac:dyDescent="0.25">
      <c r="A1600" t="s">
        <v>3379</v>
      </c>
      <c r="B1600" t="s">
        <v>2104</v>
      </c>
      <c r="C1600" t="s">
        <v>2103</v>
      </c>
      <c r="D1600" s="2">
        <v>3.05706403937543E-2</v>
      </c>
      <c r="E1600" s="3">
        <v>2829065.90115987</v>
      </c>
      <c r="H1600" t="s">
        <v>91</v>
      </c>
      <c r="I1600" t="s">
        <v>3480</v>
      </c>
      <c r="J1600" t="s">
        <v>3334</v>
      </c>
      <c r="K1600">
        <v>12.75</v>
      </c>
      <c r="L1600">
        <v>2.6579999999999999</v>
      </c>
      <c r="M1600" s="1">
        <v>100</v>
      </c>
      <c r="N1600" s="1" t="s">
        <v>3658</v>
      </c>
    </row>
    <row r="1601" spans="1:14" x14ac:dyDescent="0.25">
      <c r="A1601" t="s">
        <v>3380</v>
      </c>
      <c r="B1601" t="s">
        <v>2104</v>
      </c>
      <c r="C1601" t="s">
        <v>2103</v>
      </c>
      <c r="D1601" s="2">
        <v>3.8080542396610802E-2</v>
      </c>
      <c r="E1601" s="3">
        <v>15703352.0415441</v>
      </c>
      <c r="H1601" t="s">
        <v>62</v>
      </c>
      <c r="I1601" t="s">
        <v>818</v>
      </c>
      <c r="J1601" t="s">
        <v>3482</v>
      </c>
      <c r="K1601">
        <v>14.66</v>
      </c>
      <c r="L1601">
        <v>2.492</v>
      </c>
      <c r="M1601" s="1">
        <v>100</v>
      </c>
      <c r="N1601" s="1" t="s">
        <v>3658</v>
      </c>
    </row>
    <row r="1602" spans="1:14" x14ac:dyDescent="0.25">
      <c r="A1602" t="s">
        <v>3381</v>
      </c>
      <c r="B1602" t="s">
        <v>2104</v>
      </c>
      <c r="C1602" t="s">
        <v>2103</v>
      </c>
      <c r="D1602" s="2">
        <v>2.8176955136997101E-2</v>
      </c>
      <c r="E1602" s="3">
        <v>9249744.5568371303</v>
      </c>
      <c r="H1602" t="s">
        <v>56</v>
      </c>
      <c r="I1602" t="s">
        <v>3484</v>
      </c>
      <c r="J1602" t="s">
        <v>304</v>
      </c>
      <c r="K1602">
        <v>12.75</v>
      </c>
      <c r="L1602">
        <v>2.5630000000000002</v>
      </c>
      <c r="M1602" s="1">
        <v>100</v>
      </c>
      <c r="N1602" s="1" t="s">
        <v>3658</v>
      </c>
    </row>
    <row r="1603" spans="1:14" x14ac:dyDescent="0.25">
      <c r="A1603" t="s">
        <v>3382</v>
      </c>
      <c r="B1603" t="s">
        <v>2104</v>
      </c>
      <c r="C1603" t="s">
        <v>2103</v>
      </c>
      <c r="D1603" s="2">
        <v>2.6956251051131801E-2</v>
      </c>
      <c r="E1603" s="3">
        <v>5424926.5992878601</v>
      </c>
      <c r="H1603" t="s">
        <v>114</v>
      </c>
      <c r="I1603" t="s">
        <v>3486</v>
      </c>
      <c r="J1603" t="s">
        <v>3487</v>
      </c>
      <c r="K1603">
        <v>14.03</v>
      </c>
      <c r="L1603">
        <v>2.5739999999999998</v>
      </c>
      <c r="M1603" s="1">
        <v>100</v>
      </c>
      <c r="N1603" s="1" t="s">
        <v>3658</v>
      </c>
    </row>
    <row r="1604" spans="1:14" x14ac:dyDescent="0.25">
      <c r="A1604" t="s">
        <v>3383</v>
      </c>
      <c r="B1604" t="s">
        <v>2104</v>
      </c>
      <c r="C1604" t="s">
        <v>2103</v>
      </c>
      <c r="D1604" s="2">
        <v>4.0299526258849097E-2</v>
      </c>
      <c r="E1604" s="3">
        <v>1384572.8211457001</v>
      </c>
      <c r="H1604" t="s">
        <v>757</v>
      </c>
      <c r="I1604" t="s">
        <v>3489</v>
      </c>
      <c r="J1604" t="s">
        <v>3490</v>
      </c>
      <c r="K1604">
        <v>15.94</v>
      </c>
      <c r="L1604">
        <v>2.5329999999999999</v>
      </c>
      <c r="M1604" s="1">
        <v>100</v>
      </c>
      <c r="N1604" s="1" t="s">
        <v>3658</v>
      </c>
    </row>
    <row r="1605" spans="1:14" x14ac:dyDescent="0.25">
      <c r="A1605" t="s">
        <v>3429</v>
      </c>
      <c r="B1605" t="s">
        <v>2104</v>
      </c>
      <c r="C1605" t="s">
        <v>2103</v>
      </c>
      <c r="D1605" s="2">
        <v>2.6908720513469899E-2</v>
      </c>
      <c r="E1605" s="3">
        <v>5655916.0459626801</v>
      </c>
      <c r="H1605" t="s">
        <v>461</v>
      </c>
      <c r="I1605" t="s">
        <v>3651</v>
      </c>
      <c r="J1605" t="s">
        <v>3652</v>
      </c>
      <c r="K1605">
        <v>10.84</v>
      </c>
      <c r="L1605">
        <v>2.6520000000000001</v>
      </c>
      <c r="M1605" s="1">
        <v>100</v>
      </c>
      <c r="N1605" s="1" t="s">
        <v>3658</v>
      </c>
    </row>
    <row r="1606" spans="1:14" x14ac:dyDescent="0.25">
      <c r="A1606" t="s">
        <v>3384</v>
      </c>
      <c r="B1606" t="s">
        <v>2104</v>
      </c>
      <c r="C1606" t="s">
        <v>2103</v>
      </c>
      <c r="D1606" s="2">
        <v>4.5227426769091597E-2</v>
      </c>
      <c r="E1606" s="3">
        <v>1035099.49743617</v>
      </c>
      <c r="H1606" t="s">
        <v>681</v>
      </c>
      <c r="I1606" t="s">
        <v>3493</v>
      </c>
      <c r="J1606" t="s">
        <v>261</v>
      </c>
      <c r="K1606">
        <v>12.75</v>
      </c>
      <c r="L1606">
        <v>2.593</v>
      </c>
      <c r="M1606" s="1">
        <v>100</v>
      </c>
      <c r="N1606" s="1" t="s">
        <v>3658</v>
      </c>
    </row>
    <row r="1607" spans="1:14" x14ac:dyDescent="0.25">
      <c r="A1607" t="s">
        <v>3385</v>
      </c>
      <c r="B1607" t="s">
        <v>2104</v>
      </c>
      <c r="C1607" t="s">
        <v>2103</v>
      </c>
      <c r="D1607" s="2">
        <v>2.7762862004410301E-2</v>
      </c>
      <c r="E1607" s="3">
        <v>8240124.4257370699</v>
      </c>
      <c r="H1607" t="s">
        <v>893</v>
      </c>
      <c r="I1607" t="s">
        <v>3260</v>
      </c>
      <c r="J1607" t="s">
        <v>3183</v>
      </c>
      <c r="K1607">
        <v>11.48</v>
      </c>
      <c r="L1607">
        <v>2.7160000000000002</v>
      </c>
      <c r="M1607" s="1">
        <v>100</v>
      </c>
      <c r="N1607" s="1" t="s">
        <v>3658</v>
      </c>
    </row>
    <row r="1608" spans="1:14" x14ac:dyDescent="0.25">
      <c r="A1608" t="s">
        <v>3386</v>
      </c>
      <c r="B1608" t="s">
        <v>2104</v>
      </c>
      <c r="C1608" t="s">
        <v>2103</v>
      </c>
      <c r="D1608" s="2">
        <v>3.1383032562768302E-2</v>
      </c>
      <c r="E1608" s="3">
        <v>2583406.7776927799</v>
      </c>
      <c r="H1608" t="s">
        <v>324</v>
      </c>
      <c r="I1608" t="s">
        <v>3496</v>
      </c>
      <c r="J1608" t="s">
        <v>3497</v>
      </c>
      <c r="K1608">
        <v>10.84</v>
      </c>
      <c r="L1608">
        <v>2.66</v>
      </c>
      <c r="M1608" s="1">
        <v>100</v>
      </c>
      <c r="N1608" s="1" t="s">
        <v>3658</v>
      </c>
    </row>
    <row r="1609" spans="1:14" x14ac:dyDescent="0.25">
      <c r="A1609" t="s">
        <v>3387</v>
      </c>
      <c r="B1609" t="s">
        <v>2104</v>
      </c>
      <c r="C1609" t="s">
        <v>2103</v>
      </c>
      <c r="D1609" s="2">
        <v>2.9306867542619401E-2</v>
      </c>
      <c r="E1609" s="3">
        <v>3371949.7834373801</v>
      </c>
      <c r="H1609" t="s">
        <v>98</v>
      </c>
      <c r="I1609" t="s">
        <v>3499</v>
      </c>
      <c r="J1609" t="s">
        <v>3500</v>
      </c>
      <c r="K1609">
        <v>10.84</v>
      </c>
      <c r="L1609">
        <v>2.5859999999999999</v>
      </c>
      <c r="M1609" s="1">
        <v>100</v>
      </c>
      <c r="N1609" s="1" t="s">
        <v>3658</v>
      </c>
    </row>
    <row r="1610" spans="1:14" x14ac:dyDescent="0.25">
      <c r="A1610" t="s">
        <v>3388</v>
      </c>
      <c r="B1610" t="s">
        <v>2104</v>
      </c>
      <c r="C1610" t="s">
        <v>2103</v>
      </c>
      <c r="D1610" s="2">
        <v>3.0217462732628E-2</v>
      </c>
      <c r="E1610" s="3">
        <v>11355715.4740091</v>
      </c>
      <c r="H1610" t="s">
        <v>893</v>
      </c>
      <c r="I1610" t="s">
        <v>3501</v>
      </c>
      <c r="J1610" t="s">
        <v>3502</v>
      </c>
      <c r="K1610">
        <v>11.48</v>
      </c>
      <c r="L1610">
        <v>2.5</v>
      </c>
      <c r="M1610" s="1">
        <v>100</v>
      </c>
      <c r="N1610" s="1" t="s">
        <v>3658</v>
      </c>
    </row>
    <row r="1611" spans="1:14" x14ac:dyDescent="0.25">
      <c r="A1611" t="s">
        <v>3389</v>
      </c>
      <c r="B1611" t="s">
        <v>2104</v>
      </c>
      <c r="C1611" t="s">
        <v>2103</v>
      </c>
      <c r="D1611" s="2">
        <v>2.7646483679665101E-2</v>
      </c>
      <c r="E1611" s="3">
        <v>4578238.2363835601</v>
      </c>
      <c r="H1611" t="s">
        <v>207</v>
      </c>
      <c r="I1611" t="s">
        <v>3239</v>
      </c>
      <c r="J1611" t="s">
        <v>1200</v>
      </c>
      <c r="K1611">
        <v>10.84</v>
      </c>
      <c r="L1611">
        <v>2.504</v>
      </c>
      <c r="M1611" s="1">
        <v>100</v>
      </c>
      <c r="N1611" s="1" t="s">
        <v>3658</v>
      </c>
    </row>
    <row r="1612" spans="1:14" x14ac:dyDescent="0.25">
      <c r="A1612" t="s">
        <v>3390</v>
      </c>
      <c r="B1612" t="s">
        <v>2104</v>
      </c>
      <c r="C1612" t="s">
        <v>2103</v>
      </c>
      <c r="D1612" s="2">
        <v>3.0885251974206399E-2</v>
      </c>
      <c r="E1612" s="3">
        <v>2890307.9025317901</v>
      </c>
      <c r="H1612" t="s">
        <v>284</v>
      </c>
      <c r="I1612" t="s">
        <v>1584</v>
      </c>
      <c r="J1612" t="s">
        <v>2834</v>
      </c>
      <c r="K1612">
        <v>14.03</v>
      </c>
      <c r="L1612">
        <v>2.5049999999999999</v>
      </c>
      <c r="M1612" s="1">
        <v>100</v>
      </c>
      <c r="N1612" s="1" t="s">
        <v>3658</v>
      </c>
    </row>
    <row r="1613" spans="1:14" x14ac:dyDescent="0.25">
      <c r="A1613" t="s">
        <v>3391</v>
      </c>
      <c r="B1613" t="s">
        <v>2104</v>
      </c>
      <c r="C1613" t="s">
        <v>2103</v>
      </c>
      <c r="D1613" s="2">
        <v>3.04872516915198E-2</v>
      </c>
      <c r="E1613" s="3">
        <v>3000263.5061503402</v>
      </c>
      <c r="H1613" t="s">
        <v>124</v>
      </c>
      <c r="I1613" t="s">
        <v>3508</v>
      </c>
      <c r="J1613" t="s">
        <v>3509</v>
      </c>
      <c r="K1613">
        <v>13.39</v>
      </c>
      <c r="L1613">
        <v>2.5219999999999998</v>
      </c>
      <c r="M1613" s="1">
        <v>100</v>
      </c>
      <c r="N1613" s="1" t="s">
        <v>3658</v>
      </c>
    </row>
    <row r="1614" spans="1:14" x14ac:dyDescent="0.25">
      <c r="A1614" t="s">
        <v>3392</v>
      </c>
      <c r="B1614" t="s">
        <v>2104</v>
      </c>
      <c r="C1614" t="s">
        <v>2103</v>
      </c>
      <c r="D1614" s="2">
        <v>2.8689253018177301E-2</v>
      </c>
      <c r="E1614" s="3">
        <v>3651132.1922112699</v>
      </c>
      <c r="H1614" t="s">
        <v>232</v>
      </c>
      <c r="I1614" t="s">
        <v>3511</v>
      </c>
      <c r="J1614" t="s">
        <v>3512</v>
      </c>
      <c r="K1614">
        <v>14.03</v>
      </c>
      <c r="L1614">
        <v>2.609</v>
      </c>
      <c r="M1614" s="1">
        <v>100</v>
      </c>
      <c r="N1614" s="1" t="s">
        <v>3658</v>
      </c>
    </row>
    <row r="1615" spans="1:14" x14ac:dyDescent="0.25">
      <c r="A1615" t="s">
        <v>3393</v>
      </c>
      <c r="B1615" t="s">
        <v>2104</v>
      </c>
      <c r="C1615" t="s">
        <v>2103</v>
      </c>
      <c r="D1615" s="2">
        <v>4.04495543842592E-2</v>
      </c>
      <c r="E1615" s="3">
        <v>1323602.2537086499</v>
      </c>
      <c r="H1615" t="s">
        <v>42</v>
      </c>
      <c r="I1615" t="s">
        <v>3515</v>
      </c>
      <c r="J1615" t="s">
        <v>3516</v>
      </c>
      <c r="K1615">
        <v>10.84</v>
      </c>
      <c r="L1615">
        <v>2.6320000000000001</v>
      </c>
      <c r="M1615" s="1">
        <v>100</v>
      </c>
      <c r="N1615" s="1" t="s">
        <v>3658</v>
      </c>
    </row>
    <row r="1616" spans="1:14" x14ac:dyDescent="0.25">
      <c r="A1616" t="s">
        <v>3394</v>
      </c>
      <c r="B1616" t="s">
        <v>2104</v>
      </c>
      <c r="C1616" t="s">
        <v>2103</v>
      </c>
      <c r="D1616" s="2">
        <v>2.7465098695609601E-2</v>
      </c>
      <c r="E1616" s="3">
        <v>4733543.7076913696</v>
      </c>
      <c r="H1616" t="s">
        <v>324</v>
      </c>
      <c r="I1616" t="s">
        <v>3518</v>
      </c>
      <c r="J1616" t="s">
        <v>3519</v>
      </c>
      <c r="K1616">
        <v>12.11</v>
      </c>
      <c r="L1616">
        <v>2.5249999999999999</v>
      </c>
      <c r="M1616" s="1">
        <v>100</v>
      </c>
      <c r="N1616" s="1" t="s">
        <v>3658</v>
      </c>
    </row>
    <row r="1617" spans="1:14" x14ac:dyDescent="0.25">
      <c r="A1617" t="s">
        <v>3395</v>
      </c>
      <c r="B1617" t="s">
        <v>2104</v>
      </c>
      <c r="C1617" t="s">
        <v>2103</v>
      </c>
      <c r="D1617" s="2">
        <v>3.2080305317572999E-2</v>
      </c>
      <c r="E1617" s="3">
        <v>2552770.1296428498</v>
      </c>
      <c r="H1617" t="s">
        <v>45</v>
      </c>
      <c r="I1617" t="s">
        <v>3521</v>
      </c>
      <c r="J1617" t="s">
        <v>3522</v>
      </c>
      <c r="K1617">
        <v>14.03</v>
      </c>
      <c r="L1617">
        <v>2.5219999999999998</v>
      </c>
      <c r="M1617" s="1">
        <v>100</v>
      </c>
      <c r="N1617" s="1" t="s">
        <v>3658</v>
      </c>
    </row>
    <row r="1618" spans="1:14" x14ac:dyDescent="0.25">
      <c r="A1618" t="s">
        <v>3396</v>
      </c>
      <c r="B1618" t="s">
        <v>2104</v>
      </c>
      <c r="C1618" t="s">
        <v>2103</v>
      </c>
      <c r="D1618" s="2">
        <v>2.7549166128850399E-2</v>
      </c>
      <c r="E1618" s="3">
        <v>4757352.2594497204</v>
      </c>
      <c r="H1618" t="s">
        <v>76</v>
      </c>
      <c r="I1618" t="s">
        <v>3524</v>
      </c>
      <c r="J1618" t="s">
        <v>3525</v>
      </c>
      <c r="K1618">
        <v>13.39</v>
      </c>
      <c r="L1618">
        <v>2.468</v>
      </c>
      <c r="M1618" s="1">
        <v>100</v>
      </c>
      <c r="N1618" s="1" t="s">
        <v>3658</v>
      </c>
    </row>
    <row r="1619" spans="1:14" x14ac:dyDescent="0.25">
      <c r="A1619" t="s">
        <v>3397</v>
      </c>
      <c r="B1619" t="s">
        <v>2104</v>
      </c>
      <c r="C1619" t="s">
        <v>2103</v>
      </c>
      <c r="D1619" s="2">
        <v>2.80890213359784E-2</v>
      </c>
      <c r="E1619" s="3">
        <v>4294584.8230530899</v>
      </c>
      <c r="H1619" t="s">
        <v>308</v>
      </c>
      <c r="I1619" t="s">
        <v>3526</v>
      </c>
      <c r="J1619" t="s">
        <v>3527</v>
      </c>
      <c r="K1619">
        <v>12.11</v>
      </c>
      <c r="L1619">
        <v>2.4420000000000002</v>
      </c>
      <c r="M1619" s="1">
        <v>100</v>
      </c>
      <c r="N1619" s="1" t="s">
        <v>3658</v>
      </c>
    </row>
    <row r="1620" spans="1:14" x14ac:dyDescent="0.25">
      <c r="A1620" t="s">
        <v>3398</v>
      </c>
      <c r="B1620" t="s">
        <v>2104</v>
      </c>
      <c r="C1620" t="s">
        <v>2103</v>
      </c>
      <c r="D1620" s="2">
        <v>2.6986992944804802E-2</v>
      </c>
      <c r="E1620" s="3">
        <v>5533912.1308386596</v>
      </c>
      <c r="H1620" t="s">
        <v>297</v>
      </c>
      <c r="I1620" t="s">
        <v>2417</v>
      </c>
      <c r="J1620" t="s">
        <v>3529</v>
      </c>
      <c r="K1620">
        <v>10.84</v>
      </c>
      <c r="L1620">
        <v>2.488</v>
      </c>
      <c r="M1620" s="1">
        <v>100</v>
      </c>
      <c r="N1620" s="1" t="s">
        <v>3658</v>
      </c>
    </row>
    <row r="1621" spans="1:14" x14ac:dyDescent="0.25">
      <c r="A1621" t="s">
        <v>3399</v>
      </c>
      <c r="B1621" t="s">
        <v>2104</v>
      </c>
      <c r="C1621" t="s">
        <v>2103</v>
      </c>
      <c r="D1621" s="2">
        <v>2.75753108282554E-2</v>
      </c>
      <c r="E1621" s="3">
        <v>4621393.3780128099</v>
      </c>
      <c r="H1621" t="s">
        <v>56</v>
      </c>
      <c r="I1621" t="s">
        <v>3531</v>
      </c>
      <c r="J1621" t="s">
        <v>3532</v>
      </c>
      <c r="K1621">
        <v>15.94</v>
      </c>
      <c r="L1621">
        <v>2.5169999999999999</v>
      </c>
      <c r="M1621" s="1">
        <v>100</v>
      </c>
      <c r="N1621" s="1" t="s">
        <v>3658</v>
      </c>
    </row>
    <row r="1622" spans="1:14" x14ac:dyDescent="0.25">
      <c r="A1622" t="s">
        <v>3400</v>
      </c>
      <c r="B1622" t="s">
        <v>2104</v>
      </c>
      <c r="C1622" t="s">
        <v>2103</v>
      </c>
      <c r="D1622" s="2">
        <v>2.7035172906244999E-2</v>
      </c>
      <c r="E1622" s="3">
        <v>7283493.0466051903</v>
      </c>
      <c r="H1622" t="s">
        <v>17</v>
      </c>
      <c r="I1622" t="s">
        <v>3534</v>
      </c>
      <c r="J1622" t="s">
        <v>2562</v>
      </c>
      <c r="K1622">
        <v>14.66</v>
      </c>
      <c r="L1622">
        <v>2.625</v>
      </c>
      <c r="M1622" s="1">
        <v>100</v>
      </c>
      <c r="N1622" s="1" t="s">
        <v>3658</v>
      </c>
    </row>
    <row r="1623" spans="1:14" x14ac:dyDescent="0.25">
      <c r="A1623" t="s">
        <v>3401</v>
      </c>
      <c r="B1623" t="s">
        <v>2104</v>
      </c>
      <c r="C1623" t="s">
        <v>2103</v>
      </c>
      <c r="D1623" s="2">
        <v>2.7843759608981802E-2</v>
      </c>
      <c r="E1623" s="3">
        <v>4181584.5335139502</v>
      </c>
      <c r="H1623" t="s">
        <v>893</v>
      </c>
      <c r="I1623" t="s">
        <v>3537</v>
      </c>
      <c r="J1623" t="s">
        <v>2590</v>
      </c>
      <c r="K1623">
        <v>15.3</v>
      </c>
      <c r="L1623">
        <v>2.6349999999999998</v>
      </c>
      <c r="M1623" s="1">
        <v>100</v>
      </c>
      <c r="N1623" s="1" t="s">
        <v>3658</v>
      </c>
    </row>
    <row r="1624" spans="1:14" x14ac:dyDescent="0.25">
      <c r="A1624" t="s">
        <v>3402</v>
      </c>
      <c r="B1624" t="s">
        <v>2104</v>
      </c>
      <c r="C1624" t="s">
        <v>2103</v>
      </c>
      <c r="D1624" s="2">
        <v>2.7497201293330401E-2</v>
      </c>
      <c r="E1624" s="3">
        <v>4669706.2689457797</v>
      </c>
      <c r="H1624" t="s">
        <v>232</v>
      </c>
      <c r="I1624" t="s">
        <v>3539</v>
      </c>
      <c r="J1624" t="s">
        <v>3540</v>
      </c>
      <c r="K1624">
        <v>11.48</v>
      </c>
      <c r="L1624">
        <v>2.5379999999999998</v>
      </c>
      <c r="M1624" s="1">
        <v>100</v>
      </c>
      <c r="N1624" s="1" t="s">
        <v>3658</v>
      </c>
    </row>
    <row r="1625" spans="1:14" x14ac:dyDescent="0.25">
      <c r="A1625" t="s">
        <v>3403</v>
      </c>
      <c r="B1625" t="s">
        <v>2104</v>
      </c>
      <c r="C1625" t="s">
        <v>2103</v>
      </c>
      <c r="D1625" s="2">
        <v>2.7004110511389599E-2</v>
      </c>
      <c r="E1625" s="3">
        <v>7684102.5416286802</v>
      </c>
      <c r="H1625" t="s">
        <v>198</v>
      </c>
      <c r="I1625" t="s">
        <v>1406</v>
      </c>
      <c r="J1625" t="s">
        <v>3543</v>
      </c>
      <c r="K1625">
        <v>14.66</v>
      </c>
      <c r="L1625">
        <v>2.4740000000000002</v>
      </c>
      <c r="M1625" s="1">
        <v>100</v>
      </c>
      <c r="N1625" s="1" t="s">
        <v>3658</v>
      </c>
    </row>
    <row r="1626" spans="1:14" x14ac:dyDescent="0.25">
      <c r="A1626" t="s">
        <v>3404</v>
      </c>
      <c r="B1626" t="s">
        <v>2104</v>
      </c>
      <c r="C1626" t="s">
        <v>2103</v>
      </c>
      <c r="D1626" s="2">
        <v>3.0433137206434299E-2</v>
      </c>
      <c r="E1626" s="3">
        <v>3103565.7596832402</v>
      </c>
      <c r="H1626" t="s">
        <v>76</v>
      </c>
      <c r="I1626" t="s">
        <v>3546</v>
      </c>
      <c r="J1626" t="s">
        <v>3547</v>
      </c>
      <c r="K1626">
        <v>12.75</v>
      </c>
      <c r="L1626">
        <v>2.4540000000000002</v>
      </c>
      <c r="M1626" s="1">
        <v>100</v>
      </c>
      <c r="N1626" s="1" t="s">
        <v>3658</v>
      </c>
    </row>
    <row r="1627" spans="1:14" x14ac:dyDescent="0.25">
      <c r="A1627" t="s">
        <v>3405</v>
      </c>
      <c r="B1627" t="s">
        <v>2104</v>
      </c>
      <c r="C1627" t="s">
        <v>2103</v>
      </c>
      <c r="D1627" s="2">
        <v>3.1128771809844299E-2</v>
      </c>
      <c r="E1627" s="3">
        <v>2926482.64128386</v>
      </c>
      <c r="H1627" t="s">
        <v>124</v>
      </c>
      <c r="I1627" t="s">
        <v>3550</v>
      </c>
      <c r="J1627" t="s">
        <v>1300</v>
      </c>
      <c r="K1627">
        <v>12.11</v>
      </c>
      <c r="L1627">
        <v>2.4119999999999999</v>
      </c>
      <c r="M1627" s="1">
        <v>100</v>
      </c>
      <c r="N1627" s="1" t="s">
        <v>3658</v>
      </c>
    </row>
    <row r="1628" spans="1:14" x14ac:dyDescent="0.25">
      <c r="A1628" t="s">
        <v>3406</v>
      </c>
      <c r="B1628" t="s">
        <v>2104</v>
      </c>
      <c r="C1628" t="s">
        <v>2103</v>
      </c>
      <c r="D1628" s="2">
        <v>4.6585589921180101E-2</v>
      </c>
      <c r="E1628" s="3">
        <v>1008164.31013464</v>
      </c>
      <c r="H1628" t="s">
        <v>204</v>
      </c>
      <c r="I1628" t="s">
        <v>3553</v>
      </c>
      <c r="J1628" t="s">
        <v>3554</v>
      </c>
      <c r="K1628">
        <v>10.84</v>
      </c>
      <c r="L1628">
        <v>2.4670000000000001</v>
      </c>
      <c r="M1628" s="1">
        <v>100</v>
      </c>
      <c r="N1628" s="1" t="s">
        <v>3658</v>
      </c>
    </row>
    <row r="1629" spans="1:14" x14ac:dyDescent="0.25">
      <c r="A1629" t="s">
        <v>3407</v>
      </c>
      <c r="B1629" t="s">
        <v>2104</v>
      </c>
      <c r="C1629" t="s">
        <v>2103</v>
      </c>
      <c r="D1629" s="2">
        <v>3.2671685316433101E-2</v>
      </c>
      <c r="E1629" s="3">
        <v>2392674.84744148</v>
      </c>
      <c r="H1629" t="s">
        <v>284</v>
      </c>
      <c r="I1629" t="s">
        <v>3557</v>
      </c>
      <c r="J1629" t="s">
        <v>3558</v>
      </c>
      <c r="K1629">
        <v>11.48</v>
      </c>
      <c r="L1629">
        <v>2.5379999999999998</v>
      </c>
      <c r="M1629" s="1">
        <v>100</v>
      </c>
      <c r="N1629" s="1" t="s">
        <v>3658</v>
      </c>
    </row>
    <row r="1630" spans="1:14" x14ac:dyDescent="0.25">
      <c r="A1630" t="s">
        <v>1926</v>
      </c>
      <c r="B1630" t="s">
        <v>2104</v>
      </c>
      <c r="C1630" t="s">
        <v>2103</v>
      </c>
      <c r="D1630" s="2">
        <v>2.6823603781212301E-2</v>
      </c>
      <c r="E1630" s="3">
        <v>5977645.0422675498</v>
      </c>
      <c r="H1630" t="s">
        <v>62</v>
      </c>
      <c r="I1630" t="s">
        <v>3561</v>
      </c>
      <c r="J1630" t="s">
        <v>623</v>
      </c>
      <c r="K1630">
        <v>13.39</v>
      </c>
      <c r="L1630">
        <v>2.61</v>
      </c>
      <c r="M1630" s="1">
        <v>100</v>
      </c>
      <c r="N1630" s="1" t="s">
        <v>3658</v>
      </c>
    </row>
    <row r="1631" spans="1:14" x14ac:dyDescent="0.25">
      <c r="A1631" t="s">
        <v>3408</v>
      </c>
      <c r="B1631" t="s">
        <v>2104</v>
      </c>
      <c r="C1631" t="s">
        <v>2103</v>
      </c>
      <c r="D1631" s="2">
        <v>2.8079790652811999E-2</v>
      </c>
      <c r="E1631" s="3">
        <v>4060669.7040076698</v>
      </c>
      <c r="H1631" t="s">
        <v>76</v>
      </c>
      <c r="I1631" t="s">
        <v>3564</v>
      </c>
      <c r="J1631" t="s">
        <v>2129</v>
      </c>
      <c r="K1631">
        <v>10.84</v>
      </c>
      <c r="L1631">
        <v>2.5979999999999999</v>
      </c>
      <c r="M1631" s="1">
        <v>100</v>
      </c>
      <c r="N1631" s="1" t="s">
        <v>3658</v>
      </c>
    </row>
    <row r="1632" spans="1:14" x14ac:dyDescent="0.25">
      <c r="A1632" t="s">
        <v>3409</v>
      </c>
      <c r="B1632" t="s">
        <v>2104</v>
      </c>
      <c r="C1632" t="s">
        <v>2103</v>
      </c>
      <c r="D1632" s="2">
        <v>2.7030506526738898E-2</v>
      </c>
      <c r="E1632" s="3">
        <v>7633275.1592785297</v>
      </c>
      <c r="H1632" t="s">
        <v>162</v>
      </c>
      <c r="I1632" t="s">
        <v>3566</v>
      </c>
      <c r="J1632" t="s">
        <v>1174</v>
      </c>
      <c r="K1632">
        <v>13.39</v>
      </c>
      <c r="L1632">
        <v>2.516</v>
      </c>
      <c r="M1632" s="1">
        <v>100</v>
      </c>
      <c r="N1632" s="1" t="s">
        <v>3658</v>
      </c>
    </row>
    <row r="1633" spans="1:14" x14ac:dyDescent="0.25">
      <c r="A1633" t="s">
        <v>1930</v>
      </c>
      <c r="B1633" t="s">
        <v>2104</v>
      </c>
      <c r="C1633" t="s">
        <v>2103</v>
      </c>
      <c r="D1633" s="2">
        <v>6.0969171156883002E-2</v>
      </c>
      <c r="E1633" s="3">
        <v>54537.187271233401</v>
      </c>
      <c r="H1633" t="s">
        <v>114</v>
      </c>
      <c r="I1633" t="s">
        <v>648</v>
      </c>
      <c r="J1633" t="s">
        <v>3611</v>
      </c>
      <c r="K1633">
        <v>13.39</v>
      </c>
      <c r="L1633">
        <v>2.5009999999999999</v>
      </c>
      <c r="M1633" s="1">
        <v>10</v>
      </c>
      <c r="N1633" s="1" t="s">
        <v>3658</v>
      </c>
    </row>
    <row r="1634" spans="1:14" x14ac:dyDescent="0.25">
      <c r="A1634" t="s">
        <v>3421</v>
      </c>
      <c r="B1634" t="s">
        <v>2104</v>
      </c>
      <c r="C1634" t="s">
        <v>2103</v>
      </c>
      <c r="D1634" s="2">
        <v>0.219131833138446</v>
      </c>
      <c r="E1634" s="3">
        <v>3744.7808846956</v>
      </c>
      <c r="H1634" t="s">
        <v>552</v>
      </c>
      <c r="I1634" t="s">
        <v>328</v>
      </c>
      <c r="J1634" t="s">
        <v>1081</v>
      </c>
      <c r="K1634">
        <v>14.03</v>
      </c>
      <c r="L1634">
        <v>2.6549999999999998</v>
      </c>
      <c r="M1634" s="1">
        <v>10</v>
      </c>
      <c r="N1634" s="1" t="s">
        <v>3658</v>
      </c>
    </row>
    <row r="1635" spans="1:14" x14ac:dyDescent="0.25">
      <c r="A1635" t="s">
        <v>1939</v>
      </c>
      <c r="B1635" t="s">
        <v>2104</v>
      </c>
      <c r="C1635" t="s">
        <v>2103</v>
      </c>
      <c r="D1635" s="2">
        <v>3.4262891587945099E-2</v>
      </c>
      <c r="E1635" s="3">
        <v>1999672.3145135399</v>
      </c>
      <c r="H1635" t="s">
        <v>284</v>
      </c>
      <c r="I1635" t="s">
        <v>3614</v>
      </c>
      <c r="J1635" t="s">
        <v>3615</v>
      </c>
      <c r="K1635">
        <v>10.84</v>
      </c>
      <c r="L1635">
        <v>2.649</v>
      </c>
      <c r="M1635" s="1">
        <v>100</v>
      </c>
      <c r="N1635" s="1" t="s">
        <v>3658</v>
      </c>
    </row>
    <row r="1636" spans="1:14" x14ac:dyDescent="0.25">
      <c r="A1636" t="s">
        <v>1940</v>
      </c>
      <c r="B1636" t="s">
        <v>2104</v>
      </c>
      <c r="C1636" t="s">
        <v>2103</v>
      </c>
      <c r="D1636" s="2">
        <v>0.163332876986754</v>
      </c>
      <c r="E1636" s="3">
        <v>7249.15896604108</v>
      </c>
      <c r="H1636" t="s">
        <v>56</v>
      </c>
      <c r="I1636" t="s">
        <v>138</v>
      </c>
      <c r="J1636" t="s">
        <v>3621</v>
      </c>
      <c r="K1636">
        <v>11.48</v>
      </c>
      <c r="L1636">
        <v>2.4729999999999999</v>
      </c>
      <c r="M1636" s="1">
        <v>10</v>
      </c>
      <c r="N1636" s="1" t="s">
        <v>3658</v>
      </c>
    </row>
    <row r="1637" spans="1:14" x14ac:dyDescent="0.25">
      <c r="A1637" t="s">
        <v>3415</v>
      </c>
      <c r="B1637" t="s">
        <v>2104</v>
      </c>
      <c r="C1637" t="s">
        <v>2103</v>
      </c>
      <c r="D1637" s="2">
        <v>2.9586347954545698E-2</v>
      </c>
      <c r="E1637" s="3">
        <v>341957.03846615303</v>
      </c>
      <c r="H1637" t="s">
        <v>124</v>
      </c>
      <c r="I1637" t="s">
        <v>3588</v>
      </c>
      <c r="J1637" t="s">
        <v>3589</v>
      </c>
      <c r="K1637">
        <v>12.75</v>
      </c>
      <c r="L1637">
        <v>2.464</v>
      </c>
      <c r="M1637" s="1">
        <v>10</v>
      </c>
      <c r="N1637" s="1" t="s">
        <v>3658</v>
      </c>
    </row>
    <row r="1638" spans="1:14" x14ac:dyDescent="0.25">
      <c r="A1638" t="s">
        <v>1964</v>
      </c>
      <c r="B1638" t="s">
        <v>2104</v>
      </c>
      <c r="C1638" t="s">
        <v>2103</v>
      </c>
      <c r="D1638" s="2">
        <v>2.7806902056439899E-2</v>
      </c>
      <c r="E1638" s="3">
        <v>919279.29893365398</v>
      </c>
      <c r="H1638" t="s">
        <v>27</v>
      </c>
      <c r="I1638" t="s">
        <v>3573</v>
      </c>
      <c r="J1638" t="s">
        <v>3574</v>
      </c>
      <c r="K1638">
        <v>10.84</v>
      </c>
      <c r="L1638">
        <v>2.4580000000000002</v>
      </c>
      <c r="M1638" s="1">
        <v>10</v>
      </c>
      <c r="N1638" s="1" t="s">
        <v>3658</v>
      </c>
    </row>
    <row r="1639" spans="1:14" x14ac:dyDescent="0.25">
      <c r="A1639" t="s">
        <v>3424</v>
      </c>
      <c r="B1639" t="s">
        <v>2104</v>
      </c>
      <c r="C1639" t="s">
        <v>2103</v>
      </c>
      <c r="D1639" s="2">
        <v>3.8729309218228702E-2</v>
      </c>
      <c r="E1639" s="3">
        <v>14950.0134369801</v>
      </c>
      <c r="H1639" t="s">
        <v>2186</v>
      </c>
      <c r="I1639" t="s">
        <v>3629</v>
      </c>
      <c r="J1639" t="s">
        <v>1181</v>
      </c>
      <c r="K1639">
        <v>13.39</v>
      </c>
      <c r="L1639">
        <v>2.621</v>
      </c>
      <c r="M1639" s="1" t="s">
        <v>20</v>
      </c>
      <c r="N1639" s="1" t="s">
        <v>3658</v>
      </c>
    </row>
    <row r="1640" spans="1:14" x14ac:dyDescent="0.25">
      <c r="A1640" t="s">
        <v>1980</v>
      </c>
      <c r="B1640" t="s">
        <v>2104</v>
      </c>
      <c r="C1640" t="s">
        <v>2103</v>
      </c>
      <c r="D1640" s="2">
        <v>3.4011147138691002E-2</v>
      </c>
      <c r="E1640" s="3">
        <v>212884.418491994</v>
      </c>
      <c r="H1640" t="s">
        <v>124</v>
      </c>
      <c r="I1640" t="s">
        <v>3617</v>
      </c>
      <c r="J1640" t="s">
        <v>3618</v>
      </c>
      <c r="K1640">
        <v>13.39</v>
      </c>
      <c r="L1640">
        <v>2.5409999999999999</v>
      </c>
      <c r="M1640" s="1">
        <v>10</v>
      </c>
      <c r="N1640" s="1" t="s">
        <v>3658</v>
      </c>
    </row>
    <row r="1641" spans="1:14" x14ac:dyDescent="0.25">
      <c r="A1641" t="s">
        <v>3422</v>
      </c>
      <c r="B1641" t="s">
        <v>2104</v>
      </c>
      <c r="C1641" t="s">
        <v>2103</v>
      </c>
      <c r="D1641" s="2">
        <v>2.6877457116503502E-2</v>
      </c>
      <c r="E1641" s="3">
        <v>5919749.42130352</v>
      </c>
      <c r="H1641" t="s">
        <v>324</v>
      </c>
      <c r="I1641" t="s">
        <v>3624</v>
      </c>
      <c r="J1641" t="s">
        <v>3560</v>
      </c>
      <c r="K1641">
        <v>13.39</v>
      </c>
      <c r="L1641">
        <v>2.4750000000000001</v>
      </c>
      <c r="M1641" s="1">
        <v>100</v>
      </c>
      <c r="N1641" s="1" t="s">
        <v>3658</v>
      </c>
    </row>
    <row r="1642" spans="1:14" x14ac:dyDescent="0.25">
      <c r="A1642" t="s">
        <v>3412</v>
      </c>
      <c r="B1642" t="s">
        <v>2104</v>
      </c>
      <c r="C1642" t="s">
        <v>2103</v>
      </c>
      <c r="D1642" s="2">
        <v>4.9202778774426498E-2</v>
      </c>
      <c r="E1642" s="3">
        <v>832756.47509246902</v>
      </c>
      <c r="H1642" t="s">
        <v>745</v>
      </c>
      <c r="I1642" t="s">
        <v>3460</v>
      </c>
      <c r="J1642" t="s">
        <v>869</v>
      </c>
      <c r="K1642">
        <v>13.39</v>
      </c>
      <c r="L1642">
        <v>2.6320000000000001</v>
      </c>
      <c r="M1642" s="1">
        <v>100</v>
      </c>
      <c r="N1642" s="1" t="s">
        <v>3658</v>
      </c>
    </row>
    <row r="1643" spans="1:14" x14ac:dyDescent="0.25">
      <c r="A1643" t="s">
        <v>2014</v>
      </c>
      <c r="B1643" t="s">
        <v>2104</v>
      </c>
      <c r="C1643" t="s">
        <v>2103</v>
      </c>
      <c r="D1643" s="2">
        <v>3.6162552314394698E-2</v>
      </c>
      <c r="E1643" s="3">
        <v>1846262.2500521799</v>
      </c>
      <c r="H1643" t="s">
        <v>953</v>
      </c>
      <c r="I1643" t="s">
        <v>3590</v>
      </c>
      <c r="J1643" t="s">
        <v>3265</v>
      </c>
      <c r="K1643">
        <v>14.03</v>
      </c>
      <c r="L1643">
        <v>2.5150000000000001</v>
      </c>
      <c r="M1643" s="1">
        <v>100</v>
      </c>
      <c r="N1643" s="1" t="s">
        <v>3658</v>
      </c>
    </row>
    <row r="1644" spans="1:14" x14ac:dyDescent="0.25">
      <c r="A1644" t="s">
        <v>1609</v>
      </c>
      <c r="B1644" t="s">
        <v>2105</v>
      </c>
      <c r="C1644" t="s">
        <v>3362</v>
      </c>
      <c r="D1644" s="2" t="s">
        <v>20</v>
      </c>
      <c r="E1644" s="3">
        <v>0</v>
      </c>
      <c r="F1644" s="3">
        <f>E1644/6</f>
        <v>0</v>
      </c>
      <c r="G1644" s="3">
        <f>F1644/2</f>
        <v>0</v>
      </c>
      <c r="H1644" t="s">
        <v>17</v>
      </c>
      <c r="I1644" t="s">
        <v>201</v>
      </c>
      <c r="J1644" t="s">
        <v>17</v>
      </c>
      <c r="K1644">
        <v>9.18</v>
      </c>
      <c r="L1644">
        <v>2.5289999999999999</v>
      </c>
      <c r="M1644" s="1" t="s">
        <v>20</v>
      </c>
      <c r="N1644" s="1" t="s">
        <v>3658</v>
      </c>
    </row>
    <row r="1645" spans="1:14" x14ac:dyDescent="0.25">
      <c r="A1645" t="s">
        <v>2102</v>
      </c>
      <c r="B1645" t="s">
        <v>2105</v>
      </c>
      <c r="C1645" t="s">
        <v>3362</v>
      </c>
      <c r="D1645" s="2" t="s">
        <v>20</v>
      </c>
      <c r="E1645" s="3">
        <v>0</v>
      </c>
      <c r="F1645" s="3">
        <f>E1645/6</f>
        <v>0</v>
      </c>
      <c r="G1645" s="3">
        <f>F1645/2</f>
        <v>0</v>
      </c>
      <c r="H1645" t="s">
        <v>56</v>
      </c>
      <c r="I1645" t="s">
        <v>201</v>
      </c>
      <c r="J1645" t="s">
        <v>56</v>
      </c>
      <c r="K1645">
        <v>19.38</v>
      </c>
      <c r="L1645">
        <v>2.5920000000000001</v>
      </c>
      <c r="M1645" s="1" t="s">
        <v>20</v>
      </c>
      <c r="N1645" s="1" t="s">
        <v>3658</v>
      </c>
    </row>
    <row r="1646" spans="1:14" x14ac:dyDescent="0.25">
      <c r="A1646" t="s">
        <v>3433</v>
      </c>
      <c r="B1646" t="s">
        <v>2105</v>
      </c>
      <c r="C1646" t="s">
        <v>3362</v>
      </c>
      <c r="D1646" s="2">
        <v>4.6690342979394103E-2</v>
      </c>
      <c r="E1646" s="3">
        <v>9544053.8721842393</v>
      </c>
      <c r="F1646" s="3">
        <f>E1646/6</f>
        <v>1590675.6453640398</v>
      </c>
      <c r="G1646" s="3">
        <f>F1646/2</f>
        <v>795337.82268201991</v>
      </c>
      <c r="H1646" t="s">
        <v>598</v>
      </c>
      <c r="I1646" t="s">
        <v>3657</v>
      </c>
      <c r="J1646" t="s">
        <v>3242</v>
      </c>
      <c r="K1646">
        <v>10.84</v>
      </c>
      <c r="L1646">
        <v>2.6019999999999999</v>
      </c>
      <c r="M1646" s="1">
        <v>1000</v>
      </c>
      <c r="N1646" s="1" t="s">
        <v>3658</v>
      </c>
    </row>
    <row r="1647" spans="1:14" x14ac:dyDescent="0.25">
      <c r="A1647" t="s">
        <v>3431</v>
      </c>
      <c r="B1647" t="s">
        <v>2105</v>
      </c>
      <c r="C1647" t="s">
        <v>3362</v>
      </c>
      <c r="D1647" s="2" t="s">
        <v>20</v>
      </c>
      <c r="E1647" s="3">
        <v>0</v>
      </c>
      <c r="F1647" s="3">
        <f>E1647/6</f>
        <v>0</v>
      </c>
      <c r="G1647" s="3">
        <f>F1647/2</f>
        <v>0</v>
      </c>
      <c r="H1647" t="s">
        <v>130</v>
      </c>
      <c r="I1647" t="s">
        <v>201</v>
      </c>
      <c r="J1647" t="s">
        <v>130</v>
      </c>
      <c r="K1647">
        <v>9.18</v>
      </c>
      <c r="L1647">
        <v>2.5910000000000002</v>
      </c>
      <c r="M1647" s="1">
        <v>1000</v>
      </c>
      <c r="N1647" s="1" t="s">
        <v>3658</v>
      </c>
    </row>
    <row r="1648" spans="1:14" x14ac:dyDescent="0.25">
      <c r="A1648" t="s">
        <v>3432</v>
      </c>
      <c r="B1648" t="s">
        <v>2105</v>
      </c>
      <c r="C1648" t="s">
        <v>3362</v>
      </c>
      <c r="D1648" s="2">
        <v>3.5144532689660397E-2</v>
      </c>
      <c r="E1648" s="3">
        <v>19350445.414973401</v>
      </c>
      <c r="F1648" s="3">
        <f>E1648/6</f>
        <v>3225074.2358289002</v>
      </c>
      <c r="G1648" s="3">
        <f>F1648/2</f>
        <v>1612537.1179144501</v>
      </c>
      <c r="H1648" t="s">
        <v>156</v>
      </c>
      <c r="I1648" t="s">
        <v>3656</v>
      </c>
      <c r="J1648" t="s">
        <v>3093</v>
      </c>
      <c r="K1648">
        <v>10.199999999999999</v>
      </c>
      <c r="L1648">
        <v>2.5960000000000001</v>
      </c>
      <c r="M1648" s="1">
        <v>1000</v>
      </c>
      <c r="N1648" s="1" t="s">
        <v>3658</v>
      </c>
    </row>
    <row r="1649" spans="1:14" x14ac:dyDescent="0.25">
      <c r="A1649" t="s">
        <v>10</v>
      </c>
      <c r="B1649" t="s">
        <v>2105</v>
      </c>
      <c r="C1649" t="s">
        <v>3362</v>
      </c>
      <c r="D1649" s="2" t="s">
        <v>20</v>
      </c>
      <c r="E1649" s="3" t="s">
        <v>20</v>
      </c>
      <c r="H1649" t="s">
        <v>347</v>
      </c>
      <c r="I1649" t="s">
        <v>201</v>
      </c>
      <c r="J1649" t="s">
        <v>347</v>
      </c>
      <c r="K1649">
        <v>7.91</v>
      </c>
      <c r="L1649">
        <v>2.645</v>
      </c>
      <c r="M1649" s="1" t="s">
        <v>20</v>
      </c>
      <c r="N1649" s="1" t="s">
        <v>3658</v>
      </c>
    </row>
    <row r="1650" spans="1:14" x14ac:dyDescent="0.25">
      <c r="A1650" t="s">
        <v>3413</v>
      </c>
      <c r="B1650" t="s">
        <v>2105</v>
      </c>
      <c r="C1650" t="s">
        <v>3362</v>
      </c>
      <c r="D1650" s="2">
        <v>2.6782772598257801E-2</v>
      </c>
      <c r="E1650" s="3">
        <v>6184099.9897670904</v>
      </c>
      <c r="F1650" s="3">
        <f t="shared" ref="F1650:F1681" si="24">E1650/6</f>
        <v>1030683.3316278484</v>
      </c>
      <c r="G1650" s="3">
        <f t="shared" ref="G1650:G1681" si="25">F1650/2</f>
        <v>515341.66581392422</v>
      </c>
      <c r="H1650" t="s">
        <v>294</v>
      </c>
      <c r="I1650" t="s">
        <v>3321</v>
      </c>
      <c r="J1650" t="s">
        <v>1117</v>
      </c>
      <c r="K1650">
        <v>10.84</v>
      </c>
      <c r="L1650">
        <v>2.5659999999999998</v>
      </c>
      <c r="M1650" s="1">
        <v>100</v>
      </c>
      <c r="N1650" s="1" t="s">
        <v>3658</v>
      </c>
    </row>
    <row r="1651" spans="1:14" x14ac:dyDescent="0.25">
      <c r="A1651" t="s">
        <v>1620</v>
      </c>
      <c r="B1651" t="s">
        <v>2105</v>
      </c>
      <c r="C1651" t="s">
        <v>3362</v>
      </c>
      <c r="D1651" s="2">
        <v>2.6812773521152598E-2</v>
      </c>
      <c r="E1651" s="3">
        <v>626118.00100706099</v>
      </c>
      <c r="F1651" s="3">
        <f t="shared" si="24"/>
        <v>104353.00016784349</v>
      </c>
      <c r="G1651" s="3">
        <f t="shared" si="25"/>
        <v>52176.500083921746</v>
      </c>
      <c r="H1651" t="s">
        <v>71</v>
      </c>
      <c r="I1651" t="s">
        <v>3620</v>
      </c>
      <c r="J1651" t="s">
        <v>3301</v>
      </c>
      <c r="K1651">
        <v>10.84</v>
      </c>
      <c r="L1651">
        <v>2.5289999999999999</v>
      </c>
      <c r="M1651" s="1">
        <v>10</v>
      </c>
      <c r="N1651" s="1" t="s">
        <v>3658</v>
      </c>
    </row>
    <row r="1652" spans="1:14" x14ac:dyDescent="0.25">
      <c r="A1652" t="s">
        <v>3414</v>
      </c>
      <c r="B1652" t="s">
        <v>2105</v>
      </c>
      <c r="C1652" t="s">
        <v>3362</v>
      </c>
      <c r="D1652" s="2">
        <v>2.9102753039800599E-2</v>
      </c>
      <c r="E1652" s="3">
        <v>3793447.7984352098</v>
      </c>
      <c r="F1652" s="3">
        <f t="shared" si="24"/>
        <v>632241.29973920167</v>
      </c>
      <c r="G1652" s="3">
        <f t="shared" si="25"/>
        <v>316120.64986960083</v>
      </c>
      <c r="H1652" t="s">
        <v>3584</v>
      </c>
      <c r="I1652" t="s">
        <v>3585</v>
      </c>
      <c r="J1652" t="s">
        <v>3586</v>
      </c>
      <c r="K1652">
        <v>10.84</v>
      </c>
      <c r="L1652">
        <v>2.4660000000000002</v>
      </c>
      <c r="M1652" s="1">
        <v>100</v>
      </c>
      <c r="N1652" s="1" t="s">
        <v>3658</v>
      </c>
    </row>
    <row r="1653" spans="1:14" x14ac:dyDescent="0.25">
      <c r="A1653" t="s">
        <v>1624</v>
      </c>
      <c r="B1653" t="s">
        <v>2105</v>
      </c>
      <c r="C1653" t="s">
        <v>3362</v>
      </c>
      <c r="D1653" s="2">
        <v>2.9901317158044699E-2</v>
      </c>
      <c r="E1653" s="3">
        <v>3088301.95740319</v>
      </c>
      <c r="F1653" s="3">
        <f t="shared" si="24"/>
        <v>514716.99290053168</v>
      </c>
      <c r="G1653" s="3">
        <f t="shared" si="25"/>
        <v>257358.49645026584</v>
      </c>
      <c r="H1653" t="s">
        <v>62</v>
      </c>
      <c r="I1653" t="s">
        <v>3595</v>
      </c>
      <c r="J1653" t="s">
        <v>3596</v>
      </c>
      <c r="K1653">
        <v>10.84</v>
      </c>
      <c r="L1653">
        <v>2.6269999999999998</v>
      </c>
      <c r="M1653" s="1">
        <v>100</v>
      </c>
      <c r="N1653" s="1" t="s">
        <v>3658</v>
      </c>
    </row>
    <row r="1654" spans="1:14" x14ac:dyDescent="0.25">
      <c r="A1654" t="s">
        <v>3419</v>
      </c>
      <c r="B1654" t="s">
        <v>2105</v>
      </c>
      <c r="C1654" t="s">
        <v>3362</v>
      </c>
      <c r="D1654" s="2">
        <v>2.9030349944373202E-2</v>
      </c>
      <c r="E1654" s="3">
        <v>3660211.9105067598</v>
      </c>
      <c r="F1654" s="3">
        <f t="shared" si="24"/>
        <v>610035.31841779326</v>
      </c>
      <c r="G1654" s="3">
        <f t="shared" si="25"/>
        <v>305017.65920889663</v>
      </c>
      <c r="H1654" t="s">
        <v>71</v>
      </c>
      <c r="I1654" t="s">
        <v>1013</v>
      </c>
      <c r="J1654" t="s">
        <v>3462</v>
      </c>
      <c r="K1654">
        <v>11.48</v>
      </c>
      <c r="L1654">
        <v>2.4820000000000002</v>
      </c>
      <c r="M1654" s="1">
        <v>100</v>
      </c>
      <c r="N1654" s="1" t="s">
        <v>3658</v>
      </c>
    </row>
    <row r="1655" spans="1:14" x14ac:dyDescent="0.25">
      <c r="A1655" t="s">
        <v>3416</v>
      </c>
      <c r="B1655" t="s">
        <v>2105</v>
      </c>
      <c r="C1655" t="s">
        <v>3362</v>
      </c>
      <c r="D1655" s="2">
        <v>2.7437618961557299E-2</v>
      </c>
      <c r="E1655" s="3">
        <v>8079618.7597820098</v>
      </c>
      <c r="F1655" s="3">
        <f t="shared" si="24"/>
        <v>1346603.1266303349</v>
      </c>
      <c r="G1655" s="3">
        <f t="shared" si="25"/>
        <v>673301.56331516744</v>
      </c>
      <c r="H1655" t="s">
        <v>324</v>
      </c>
      <c r="I1655" t="s">
        <v>3597</v>
      </c>
      <c r="J1655" t="s">
        <v>3598</v>
      </c>
      <c r="K1655">
        <v>10.84</v>
      </c>
      <c r="L1655">
        <v>2.6219999999999999</v>
      </c>
      <c r="M1655" s="1">
        <v>100</v>
      </c>
      <c r="N1655" s="1" t="s">
        <v>3658</v>
      </c>
    </row>
    <row r="1656" spans="1:14" x14ac:dyDescent="0.25">
      <c r="A1656" t="s">
        <v>3663</v>
      </c>
      <c r="B1656" t="s">
        <v>2105</v>
      </c>
      <c r="C1656" t="s">
        <v>3362</v>
      </c>
      <c r="D1656" s="2">
        <v>2.6926620649458301E-2</v>
      </c>
      <c r="E1656" s="3">
        <v>7449856.9196703099</v>
      </c>
      <c r="F1656" s="3">
        <f t="shared" si="24"/>
        <v>1241642.8199450516</v>
      </c>
      <c r="G1656" s="3">
        <f t="shared" si="25"/>
        <v>620821.40997252578</v>
      </c>
      <c r="H1656" t="s">
        <v>297</v>
      </c>
      <c r="I1656" t="s">
        <v>3605</v>
      </c>
      <c r="J1656" t="s">
        <v>3606</v>
      </c>
      <c r="K1656">
        <v>11.48</v>
      </c>
      <c r="L1656">
        <v>2.4830000000000001</v>
      </c>
      <c r="M1656" s="1">
        <v>100</v>
      </c>
      <c r="N1656" s="1" t="s">
        <v>3658</v>
      </c>
    </row>
    <row r="1657" spans="1:14" x14ac:dyDescent="0.25">
      <c r="A1657" t="s">
        <v>3423</v>
      </c>
      <c r="B1657" t="s">
        <v>2105</v>
      </c>
      <c r="C1657" t="s">
        <v>3362</v>
      </c>
      <c r="D1657" s="2">
        <v>2.9857229704882599E-2</v>
      </c>
      <c r="E1657" s="3">
        <v>3282465.3966820799</v>
      </c>
      <c r="F1657" s="3">
        <f t="shared" si="24"/>
        <v>547077.56611368002</v>
      </c>
      <c r="G1657" s="3">
        <f t="shared" si="25"/>
        <v>273538.78305684001</v>
      </c>
      <c r="H1657" t="s">
        <v>324</v>
      </c>
      <c r="I1657" t="s">
        <v>3627</v>
      </c>
      <c r="J1657" t="s">
        <v>3628</v>
      </c>
      <c r="K1657">
        <v>12.11</v>
      </c>
      <c r="L1657">
        <v>2.48</v>
      </c>
      <c r="M1657" s="1">
        <v>100</v>
      </c>
      <c r="N1657" s="1" t="s">
        <v>3658</v>
      </c>
    </row>
    <row r="1658" spans="1:14" x14ac:dyDescent="0.25">
      <c r="A1658" t="s">
        <v>3410</v>
      </c>
      <c r="B1658" t="s">
        <v>2105</v>
      </c>
      <c r="C1658" t="s">
        <v>3362</v>
      </c>
      <c r="D1658" s="2">
        <v>6.3530605402539797E-2</v>
      </c>
      <c r="E1658" s="3">
        <v>5153619.6270821802</v>
      </c>
      <c r="F1658" s="3">
        <f t="shared" si="24"/>
        <v>858936.60451369674</v>
      </c>
      <c r="G1658" s="3">
        <f t="shared" si="25"/>
        <v>429468.30225684837</v>
      </c>
      <c r="H1658" t="s">
        <v>546</v>
      </c>
      <c r="I1658" t="s">
        <v>2254</v>
      </c>
      <c r="J1658" t="s">
        <v>3569</v>
      </c>
      <c r="K1658">
        <v>10.199999999999999</v>
      </c>
      <c r="L1658">
        <v>2.4319999999999999</v>
      </c>
      <c r="M1658" s="1">
        <v>1000</v>
      </c>
      <c r="N1658" s="1" t="s">
        <v>3658</v>
      </c>
    </row>
    <row r="1659" spans="1:14" x14ac:dyDescent="0.25">
      <c r="A1659" t="s">
        <v>3425</v>
      </c>
      <c r="B1659" t="s">
        <v>2105</v>
      </c>
      <c r="C1659" t="s">
        <v>3362</v>
      </c>
      <c r="D1659" s="2">
        <v>3.5275240064991498E-2</v>
      </c>
      <c r="E1659" s="3">
        <v>198758.512953083</v>
      </c>
      <c r="F1659" s="3">
        <f t="shared" si="24"/>
        <v>33126.418825513836</v>
      </c>
      <c r="G1659" s="3">
        <f t="shared" si="25"/>
        <v>16563.209412756918</v>
      </c>
      <c r="H1659" t="s">
        <v>953</v>
      </c>
      <c r="I1659" t="s">
        <v>3636</v>
      </c>
      <c r="J1659" t="s">
        <v>3637</v>
      </c>
      <c r="K1659">
        <v>9.56</v>
      </c>
      <c r="L1659">
        <v>2.4969999999999999</v>
      </c>
      <c r="M1659" s="1">
        <v>10</v>
      </c>
      <c r="N1659" s="1" t="s">
        <v>3658</v>
      </c>
    </row>
    <row r="1660" spans="1:14" x14ac:dyDescent="0.25">
      <c r="A1660" t="s">
        <v>3428</v>
      </c>
      <c r="B1660" t="s">
        <v>2105</v>
      </c>
      <c r="C1660" t="s">
        <v>3362</v>
      </c>
      <c r="D1660" s="2">
        <v>2.8207346396795001E-2</v>
      </c>
      <c r="E1660" s="3">
        <v>436150.83476590301</v>
      </c>
      <c r="F1660" s="3">
        <f t="shared" si="24"/>
        <v>72691.805794317173</v>
      </c>
      <c r="G1660" s="3">
        <f t="shared" si="25"/>
        <v>36345.902897158587</v>
      </c>
      <c r="H1660" t="s">
        <v>3647</v>
      </c>
      <c r="I1660" t="s">
        <v>3650</v>
      </c>
      <c r="J1660" t="s">
        <v>3355</v>
      </c>
      <c r="K1660">
        <v>10.199999999999999</v>
      </c>
      <c r="L1660">
        <v>2.625</v>
      </c>
      <c r="M1660" s="1">
        <v>10</v>
      </c>
      <c r="N1660" s="1" t="s">
        <v>3658</v>
      </c>
    </row>
    <row r="1661" spans="1:14" x14ac:dyDescent="0.25">
      <c r="A1661" t="s">
        <v>1735</v>
      </c>
      <c r="B1661" t="s">
        <v>2105</v>
      </c>
      <c r="C1661" t="s">
        <v>3362</v>
      </c>
      <c r="D1661" s="2">
        <v>2.69216923507733E-2</v>
      </c>
      <c r="E1661" s="3">
        <v>6968704.8462893097</v>
      </c>
      <c r="F1661" s="3">
        <f t="shared" si="24"/>
        <v>1161450.8077148849</v>
      </c>
      <c r="G1661" s="3">
        <f t="shared" si="25"/>
        <v>580725.40385744243</v>
      </c>
      <c r="H1661" t="s">
        <v>62</v>
      </c>
      <c r="I1661" t="s">
        <v>3578</v>
      </c>
      <c r="J1661" t="s">
        <v>2942</v>
      </c>
      <c r="K1661">
        <v>10.84</v>
      </c>
      <c r="L1661">
        <v>2.6139999999999999</v>
      </c>
      <c r="M1661" s="1">
        <v>100</v>
      </c>
      <c r="N1661" s="1" t="s">
        <v>3658</v>
      </c>
    </row>
    <row r="1662" spans="1:14" x14ac:dyDescent="0.25">
      <c r="A1662" t="s">
        <v>3420</v>
      </c>
      <c r="B1662" t="s">
        <v>2105</v>
      </c>
      <c r="C1662" t="s">
        <v>3362</v>
      </c>
      <c r="D1662" s="2">
        <v>3.0004268702569701E-2</v>
      </c>
      <c r="E1662" s="3">
        <v>3291946.5615598201</v>
      </c>
      <c r="F1662" s="3">
        <f t="shared" si="24"/>
        <v>548657.76025996997</v>
      </c>
      <c r="G1662" s="3">
        <f t="shared" si="25"/>
        <v>274328.88012998499</v>
      </c>
      <c r="H1662" t="s">
        <v>71</v>
      </c>
      <c r="I1662" t="s">
        <v>3609</v>
      </c>
      <c r="J1662" t="s">
        <v>3610</v>
      </c>
      <c r="K1662">
        <v>12.11</v>
      </c>
      <c r="L1662">
        <v>2.4329999999999998</v>
      </c>
      <c r="M1662" s="1">
        <v>100</v>
      </c>
      <c r="N1662" s="1" t="s">
        <v>3658</v>
      </c>
    </row>
    <row r="1663" spans="1:14" x14ac:dyDescent="0.25">
      <c r="A1663" t="s">
        <v>3418</v>
      </c>
      <c r="B1663" t="s">
        <v>2105</v>
      </c>
      <c r="C1663" t="s">
        <v>3362</v>
      </c>
      <c r="D1663" s="2">
        <v>0.65332147088324399</v>
      </c>
      <c r="E1663" s="3">
        <v>45.102047167472499</v>
      </c>
      <c r="F1663" s="3">
        <f t="shared" si="24"/>
        <v>7.5170078612454168</v>
      </c>
      <c r="G1663" s="3">
        <f t="shared" si="25"/>
        <v>3.7585039306227084</v>
      </c>
      <c r="H1663" t="s">
        <v>124</v>
      </c>
      <c r="I1663" t="s">
        <v>3601</v>
      </c>
      <c r="J1663" t="s">
        <v>169</v>
      </c>
      <c r="K1663">
        <v>8.5299999999999994</v>
      </c>
      <c r="L1663">
        <v>2.4660000000000002</v>
      </c>
      <c r="M1663" s="1" t="s">
        <v>20</v>
      </c>
      <c r="N1663" s="1" t="s">
        <v>3658</v>
      </c>
    </row>
    <row r="1664" spans="1:14" x14ac:dyDescent="0.25">
      <c r="A1664" t="s">
        <v>1762</v>
      </c>
      <c r="B1664" t="s">
        <v>2105</v>
      </c>
      <c r="C1664" t="s">
        <v>3362</v>
      </c>
      <c r="D1664" s="2">
        <v>0.100159622527207</v>
      </c>
      <c r="E1664" s="3">
        <v>19507.026314255301</v>
      </c>
      <c r="F1664" s="3">
        <f t="shared" si="24"/>
        <v>3251.1710523758834</v>
      </c>
      <c r="G1664" s="3">
        <f t="shared" si="25"/>
        <v>1625.5855261879417</v>
      </c>
      <c r="H1664" t="s">
        <v>124</v>
      </c>
      <c r="I1664" t="s">
        <v>1163</v>
      </c>
      <c r="J1664" t="s">
        <v>3587</v>
      </c>
      <c r="K1664">
        <v>13.39</v>
      </c>
      <c r="L1664">
        <v>2.4830000000000001</v>
      </c>
      <c r="M1664" s="1">
        <v>10</v>
      </c>
      <c r="N1664" s="1" t="s">
        <v>3658</v>
      </c>
    </row>
    <row r="1665" spans="1:14" x14ac:dyDescent="0.25">
      <c r="A1665" t="s">
        <v>3417</v>
      </c>
      <c r="B1665" t="s">
        <v>2105</v>
      </c>
      <c r="C1665" t="s">
        <v>3362</v>
      </c>
      <c r="D1665" s="2">
        <v>2.69906431067857E-2</v>
      </c>
      <c r="E1665" s="3">
        <v>7407999.3688295204</v>
      </c>
      <c r="F1665" s="3">
        <f t="shared" si="24"/>
        <v>1234666.5614715868</v>
      </c>
      <c r="G1665" s="3">
        <f t="shared" si="25"/>
        <v>617333.28073579341</v>
      </c>
      <c r="H1665" t="s">
        <v>71</v>
      </c>
      <c r="I1665" t="s">
        <v>3599</v>
      </c>
      <c r="J1665" t="s">
        <v>3600</v>
      </c>
      <c r="K1665">
        <v>12.11</v>
      </c>
      <c r="L1665">
        <v>2.5379999999999998</v>
      </c>
      <c r="M1665" s="1">
        <v>100</v>
      </c>
      <c r="N1665" s="1" t="s">
        <v>3658</v>
      </c>
    </row>
    <row r="1666" spans="1:14" x14ac:dyDescent="0.25">
      <c r="A1666" t="s">
        <v>3411</v>
      </c>
      <c r="B1666" t="s">
        <v>2105</v>
      </c>
      <c r="C1666" t="s">
        <v>3362</v>
      </c>
      <c r="D1666" s="2">
        <v>2.9512331384347199E-2</v>
      </c>
      <c r="E1666" s="3">
        <v>349803.9850318</v>
      </c>
      <c r="F1666" s="3">
        <f t="shared" si="24"/>
        <v>58300.664171966666</v>
      </c>
      <c r="G1666" s="3">
        <f t="shared" si="25"/>
        <v>29150.332085983333</v>
      </c>
      <c r="H1666" t="s">
        <v>324</v>
      </c>
      <c r="I1666" t="s">
        <v>3571</v>
      </c>
      <c r="J1666" t="s">
        <v>3572</v>
      </c>
      <c r="K1666">
        <v>9.56</v>
      </c>
      <c r="L1666">
        <v>2.4300000000000002</v>
      </c>
      <c r="M1666" s="1">
        <v>10</v>
      </c>
      <c r="N1666" s="1" t="s">
        <v>3658</v>
      </c>
    </row>
    <row r="1667" spans="1:14" x14ac:dyDescent="0.25">
      <c r="A1667" t="s">
        <v>1804</v>
      </c>
      <c r="B1667" t="s">
        <v>2105</v>
      </c>
      <c r="C1667" t="s">
        <v>3362</v>
      </c>
      <c r="D1667" s="2">
        <v>3.16485767046044E-2</v>
      </c>
      <c r="E1667" s="3">
        <v>2556165.6106481999</v>
      </c>
      <c r="F1667" s="3">
        <f t="shared" si="24"/>
        <v>426027.60177469999</v>
      </c>
      <c r="G1667" s="3">
        <f t="shared" si="25"/>
        <v>213013.80088734999</v>
      </c>
      <c r="H1667" t="s">
        <v>62</v>
      </c>
      <c r="I1667" t="s">
        <v>3634</v>
      </c>
      <c r="J1667" t="s">
        <v>3635</v>
      </c>
      <c r="K1667">
        <v>12.11</v>
      </c>
      <c r="L1667">
        <v>2.6219999999999999</v>
      </c>
      <c r="M1667" s="1">
        <v>100</v>
      </c>
      <c r="N1667" s="1" t="s">
        <v>3658</v>
      </c>
    </row>
    <row r="1668" spans="1:14" x14ac:dyDescent="0.25">
      <c r="A1668" t="s">
        <v>1805</v>
      </c>
      <c r="B1668" t="s">
        <v>2105</v>
      </c>
      <c r="C1668" t="s">
        <v>3362</v>
      </c>
      <c r="D1668" s="2">
        <v>3.02789401971174E-2</v>
      </c>
      <c r="E1668" s="3">
        <v>1137128.9015003101</v>
      </c>
      <c r="F1668" s="3">
        <f t="shared" si="24"/>
        <v>189521.48358338501</v>
      </c>
      <c r="G1668" s="3">
        <f t="shared" si="25"/>
        <v>94760.741791692504</v>
      </c>
      <c r="H1668" t="s">
        <v>297</v>
      </c>
      <c r="I1668" t="s">
        <v>3640</v>
      </c>
      <c r="J1668" t="s">
        <v>3641</v>
      </c>
      <c r="K1668">
        <v>8.93</v>
      </c>
      <c r="L1668">
        <v>2.5099999999999998</v>
      </c>
      <c r="M1668" s="1">
        <v>10</v>
      </c>
      <c r="N1668" s="1" t="s">
        <v>3658</v>
      </c>
    </row>
    <row r="1669" spans="1:14" x14ac:dyDescent="0.25">
      <c r="A1669" t="s">
        <v>3427</v>
      </c>
      <c r="B1669" t="s">
        <v>2105</v>
      </c>
      <c r="C1669" t="s">
        <v>3362</v>
      </c>
      <c r="D1669" s="2">
        <v>2.6773697057421102E-2</v>
      </c>
      <c r="E1669" s="3">
        <v>633452.89589965402</v>
      </c>
      <c r="F1669" s="3">
        <f t="shared" si="24"/>
        <v>105575.48264994234</v>
      </c>
      <c r="G1669" s="3">
        <f t="shared" si="25"/>
        <v>52787.741324971168</v>
      </c>
      <c r="H1669" t="s">
        <v>240</v>
      </c>
      <c r="I1669" t="s">
        <v>3645</v>
      </c>
      <c r="J1669" t="s">
        <v>3646</v>
      </c>
      <c r="K1669">
        <v>9.56</v>
      </c>
      <c r="L1669">
        <v>2.5590000000000002</v>
      </c>
      <c r="M1669" s="1">
        <v>10</v>
      </c>
      <c r="N1669" s="1" t="s">
        <v>3658</v>
      </c>
    </row>
    <row r="1670" spans="1:14" x14ac:dyDescent="0.25">
      <c r="A1670" t="s">
        <v>3430</v>
      </c>
      <c r="B1670" t="s">
        <v>2105</v>
      </c>
      <c r="C1670" t="s">
        <v>3362</v>
      </c>
      <c r="D1670" s="2">
        <v>3.9535264785890499E-2</v>
      </c>
      <c r="E1670" s="3">
        <v>1411374.6147109801</v>
      </c>
      <c r="F1670" s="3">
        <f t="shared" si="24"/>
        <v>235229.10245183003</v>
      </c>
      <c r="G1670" s="3">
        <f t="shared" si="25"/>
        <v>117614.55122591501</v>
      </c>
      <c r="H1670" t="s">
        <v>1402</v>
      </c>
      <c r="I1670" t="s">
        <v>3654</v>
      </c>
      <c r="J1670" t="s">
        <v>3655</v>
      </c>
      <c r="K1670">
        <v>13.39</v>
      </c>
      <c r="L1670">
        <v>2.62</v>
      </c>
      <c r="M1670" s="1">
        <v>100</v>
      </c>
      <c r="N1670" s="1" t="s">
        <v>3658</v>
      </c>
    </row>
    <row r="1671" spans="1:14" x14ac:dyDescent="0.25">
      <c r="A1671" t="s">
        <v>3008</v>
      </c>
      <c r="B1671" t="s">
        <v>2105</v>
      </c>
      <c r="C1671" t="s">
        <v>3362</v>
      </c>
      <c r="D1671" s="2">
        <v>2.7960864160833199E-2</v>
      </c>
      <c r="E1671" s="3">
        <v>4081273.4045438101</v>
      </c>
      <c r="F1671" s="3">
        <f t="shared" si="24"/>
        <v>680212.23409063497</v>
      </c>
      <c r="G1671" s="3">
        <f t="shared" si="25"/>
        <v>340106.11704531749</v>
      </c>
      <c r="H1671" t="s">
        <v>45</v>
      </c>
      <c r="I1671" t="s">
        <v>3435</v>
      </c>
      <c r="J1671" t="s">
        <v>3436</v>
      </c>
      <c r="K1671">
        <v>12.11</v>
      </c>
      <c r="L1671">
        <v>2.6539999999999999</v>
      </c>
      <c r="M1671" s="1">
        <v>100</v>
      </c>
      <c r="N1671" s="1" t="s">
        <v>3658</v>
      </c>
    </row>
    <row r="1672" spans="1:14" x14ac:dyDescent="0.25">
      <c r="A1672" t="s">
        <v>3365</v>
      </c>
      <c r="B1672" t="s">
        <v>2105</v>
      </c>
      <c r="C1672" t="s">
        <v>3362</v>
      </c>
      <c r="D1672" s="2">
        <v>3.2237728271228797E-2</v>
      </c>
      <c r="E1672" s="3">
        <v>2343453.8088267799</v>
      </c>
      <c r="F1672" s="3">
        <f t="shared" si="24"/>
        <v>390575.63480446331</v>
      </c>
      <c r="G1672" s="3">
        <f t="shared" si="25"/>
        <v>195287.81740223165</v>
      </c>
      <c r="H1672" t="s">
        <v>130</v>
      </c>
      <c r="I1672" t="s">
        <v>3439</v>
      </c>
      <c r="J1672" t="s">
        <v>3440</v>
      </c>
      <c r="K1672">
        <v>13.39</v>
      </c>
      <c r="L1672">
        <v>2.6989999999999998</v>
      </c>
      <c r="M1672" s="1">
        <v>100</v>
      </c>
      <c r="N1672" s="1" t="s">
        <v>3658</v>
      </c>
    </row>
    <row r="1673" spans="1:14" x14ac:dyDescent="0.25">
      <c r="A1673" t="s">
        <v>3366</v>
      </c>
      <c r="B1673" t="s">
        <v>2105</v>
      </c>
      <c r="C1673" t="s">
        <v>3362</v>
      </c>
      <c r="D1673" s="2">
        <v>2.68812038767588E-2</v>
      </c>
      <c r="E1673" s="3">
        <v>5533491.6984980302</v>
      </c>
      <c r="F1673" s="3">
        <f t="shared" si="24"/>
        <v>922248.61641633837</v>
      </c>
      <c r="G1673" s="3">
        <f t="shared" si="25"/>
        <v>461124.30820816918</v>
      </c>
      <c r="H1673" t="s">
        <v>91</v>
      </c>
      <c r="I1673" t="s">
        <v>3442</v>
      </c>
      <c r="J1673" t="s">
        <v>3443</v>
      </c>
      <c r="K1673">
        <v>12.11</v>
      </c>
      <c r="L1673">
        <v>2.6960000000000002</v>
      </c>
      <c r="M1673" s="1">
        <v>100</v>
      </c>
      <c r="N1673" s="1" t="s">
        <v>3658</v>
      </c>
    </row>
    <row r="1674" spans="1:14" x14ac:dyDescent="0.25">
      <c r="A1674" t="s">
        <v>3367</v>
      </c>
      <c r="B1674" t="s">
        <v>2105</v>
      </c>
      <c r="C1674" t="s">
        <v>3362</v>
      </c>
      <c r="D1674" s="2">
        <v>2.68874148670308E-2</v>
      </c>
      <c r="E1674" s="3">
        <v>6726923.1198288603</v>
      </c>
      <c r="F1674" s="3">
        <f t="shared" si="24"/>
        <v>1121153.8533048101</v>
      </c>
      <c r="G1674" s="3">
        <f t="shared" si="25"/>
        <v>560576.92665240506</v>
      </c>
      <c r="H1674" t="s">
        <v>130</v>
      </c>
      <c r="I1674" t="s">
        <v>694</v>
      </c>
      <c r="J1674" t="s">
        <v>3445</v>
      </c>
      <c r="K1674">
        <v>11.48</v>
      </c>
      <c r="L1674">
        <v>2.67</v>
      </c>
      <c r="M1674" s="1">
        <v>100</v>
      </c>
      <c r="N1674" s="1" t="s">
        <v>3658</v>
      </c>
    </row>
    <row r="1675" spans="1:14" x14ac:dyDescent="0.25">
      <c r="A1675" t="s">
        <v>3368</v>
      </c>
      <c r="B1675" t="s">
        <v>2105</v>
      </c>
      <c r="C1675" t="s">
        <v>3362</v>
      </c>
      <c r="D1675" s="2">
        <v>2.78934148723716E-2</v>
      </c>
      <c r="E1675" s="3">
        <v>4027751.0360081601</v>
      </c>
      <c r="F1675" s="3">
        <f t="shared" si="24"/>
        <v>671291.83933469339</v>
      </c>
      <c r="G1675" s="3">
        <f t="shared" si="25"/>
        <v>335645.91966734669</v>
      </c>
      <c r="H1675" t="s">
        <v>67</v>
      </c>
      <c r="I1675" t="s">
        <v>3448</v>
      </c>
      <c r="J1675" t="s">
        <v>3449</v>
      </c>
      <c r="K1675">
        <v>12.11</v>
      </c>
      <c r="L1675">
        <v>2.6970000000000001</v>
      </c>
      <c r="M1675" s="1">
        <v>100</v>
      </c>
      <c r="N1675" s="1" t="s">
        <v>3658</v>
      </c>
    </row>
    <row r="1676" spans="1:14" x14ac:dyDescent="0.25">
      <c r="A1676" t="s">
        <v>3369</v>
      </c>
      <c r="B1676" t="s">
        <v>2105</v>
      </c>
      <c r="C1676" t="s">
        <v>3362</v>
      </c>
      <c r="D1676" s="2">
        <v>3.0702199233784901E-2</v>
      </c>
      <c r="E1676" s="3">
        <v>2742048.81727537</v>
      </c>
      <c r="F1676" s="3">
        <f t="shared" si="24"/>
        <v>457008.13621256169</v>
      </c>
      <c r="G1676" s="3">
        <f t="shared" si="25"/>
        <v>228504.06810628084</v>
      </c>
      <c r="H1676" t="s">
        <v>108</v>
      </c>
      <c r="I1676" t="s">
        <v>3452</v>
      </c>
      <c r="J1676" t="s">
        <v>2638</v>
      </c>
      <c r="K1676">
        <v>11.48</v>
      </c>
      <c r="L1676">
        <v>2.6829999999999998</v>
      </c>
      <c r="M1676" s="1">
        <v>100</v>
      </c>
      <c r="N1676" s="1" t="s">
        <v>3658</v>
      </c>
    </row>
    <row r="1677" spans="1:14" x14ac:dyDescent="0.25">
      <c r="A1677" t="s">
        <v>3370</v>
      </c>
      <c r="B1677" t="s">
        <v>2105</v>
      </c>
      <c r="C1677" t="s">
        <v>3362</v>
      </c>
      <c r="D1677" s="2">
        <v>3.0468216481030101E-2</v>
      </c>
      <c r="E1677" s="3">
        <v>10695009.638791701</v>
      </c>
      <c r="F1677" s="3">
        <f t="shared" si="24"/>
        <v>1782501.6064652835</v>
      </c>
      <c r="G1677" s="3">
        <f t="shared" si="25"/>
        <v>891250.80323264177</v>
      </c>
      <c r="H1677" t="s">
        <v>162</v>
      </c>
      <c r="I1677" t="s">
        <v>3454</v>
      </c>
      <c r="J1677" t="s">
        <v>3455</v>
      </c>
      <c r="K1677">
        <v>12.11</v>
      </c>
      <c r="L1677">
        <v>2.7010000000000001</v>
      </c>
      <c r="M1677" s="1">
        <v>100</v>
      </c>
      <c r="N1677" s="1" t="s">
        <v>3658</v>
      </c>
    </row>
    <row r="1678" spans="1:14" x14ac:dyDescent="0.25">
      <c r="A1678" t="s">
        <v>3371</v>
      </c>
      <c r="B1678" t="s">
        <v>2105</v>
      </c>
      <c r="C1678" t="s">
        <v>3362</v>
      </c>
      <c r="D1678" s="2">
        <v>6.0305203230353099E-2</v>
      </c>
      <c r="E1678" s="3">
        <v>527989.25667484605</v>
      </c>
      <c r="F1678" s="3">
        <f t="shared" si="24"/>
        <v>87998.209445807675</v>
      </c>
      <c r="G1678" s="3">
        <f t="shared" si="25"/>
        <v>43999.104722903838</v>
      </c>
      <c r="H1678" t="s">
        <v>150</v>
      </c>
      <c r="I1678" t="s">
        <v>92</v>
      </c>
      <c r="J1678" t="s">
        <v>3458</v>
      </c>
      <c r="K1678">
        <v>10.199999999999999</v>
      </c>
      <c r="L1678">
        <v>2.65</v>
      </c>
      <c r="M1678" s="1">
        <v>100</v>
      </c>
      <c r="N1678" s="1" t="s">
        <v>3658</v>
      </c>
    </row>
    <row r="1679" spans="1:14" x14ac:dyDescent="0.25">
      <c r="A1679" t="s">
        <v>3372</v>
      </c>
      <c r="B1679" t="s">
        <v>2105</v>
      </c>
      <c r="C1679" t="s">
        <v>3362</v>
      </c>
      <c r="D1679" s="2">
        <v>3.3047457148359098E-2</v>
      </c>
      <c r="E1679" s="3">
        <v>12501613.8820126</v>
      </c>
      <c r="F1679" s="3">
        <f t="shared" si="24"/>
        <v>2083602.3136687668</v>
      </c>
      <c r="G1679" s="3">
        <f t="shared" si="25"/>
        <v>1041801.1568343834</v>
      </c>
      <c r="H1679" t="s">
        <v>207</v>
      </c>
      <c r="I1679" t="s">
        <v>3461</v>
      </c>
      <c r="J1679" t="s">
        <v>1325</v>
      </c>
      <c r="K1679">
        <v>10.84</v>
      </c>
      <c r="L1679">
        <v>2.6440000000000001</v>
      </c>
      <c r="M1679" s="1">
        <v>100</v>
      </c>
      <c r="N1679" s="1" t="s">
        <v>3658</v>
      </c>
    </row>
    <row r="1680" spans="1:14" x14ac:dyDescent="0.25">
      <c r="A1680" t="s">
        <v>3373</v>
      </c>
      <c r="B1680" t="s">
        <v>2105</v>
      </c>
      <c r="C1680" t="s">
        <v>3362</v>
      </c>
      <c r="D1680" s="2">
        <v>2.84206007489782E-2</v>
      </c>
      <c r="E1680" s="3">
        <v>3820080.7713837102</v>
      </c>
      <c r="F1680" s="3">
        <f t="shared" si="24"/>
        <v>636680.1285639517</v>
      </c>
      <c r="G1680" s="3">
        <f t="shared" si="25"/>
        <v>318340.06428197585</v>
      </c>
      <c r="H1680" t="s">
        <v>280</v>
      </c>
      <c r="I1680" t="s">
        <v>2605</v>
      </c>
      <c r="J1680" t="s">
        <v>3463</v>
      </c>
      <c r="K1680">
        <v>10.84</v>
      </c>
      <c r="L1680">
        <v>2.6179999999999999</v>
      </c>
      <c r="M1680" s="1">
        <v>100</v>
      </c>
      <c r="N1680" s="1" t="s">
        <v>3658</v>
      </c>
    </row>
    <row r="1681" spans="1:14" x14ac:dyDescent="0.25">
      <c r="A1681" t="s">
        <v>3374</v>
      </c>
      <c r="B1681" t="s">
        <v>2105</v>
      </c>
      <c r="C1681" t="s">
        <v>3362</v>
      </c>
      <c r="D1681" s="2">
        <v>2.8454468501038801E-2</v>
      </c>
      <c r="E1681" s="3">
        <v>9469567.4869201593</v>
      </c>
      <c r="F1681" s="3">
        <f t="shared" si="24"/>
        <v>1578261.2478200265</v>
      </c>
      <c r="G1681" s="3">
        <f t="shared" si="25"/>
        <v>789130.62391001324</v>
      </c>
      <c r="H1681" t="s">
        <v>150</v>
      </c>
      <c r="I1681" t="s">
        <v>3466</v>
      </c>
      <c r="J1681" t="s">
        <v>3467</v>
      </c>
      <c r="K1681">
        <v>10.84</v>
      </c>
      <c r="L1681">
        <v>2.5790000000000002</v>
      </c>
      <c r="M1681" s="1">
        <v>100</v>
      </c>
      <c r="N1681" s="1" t="s">
        <v>3658</v>
      </c>
    </row>
    <row r="1682" spans="1:14" x14ac:dyDescent="0.25">
      <c r="A1682" t="s">
        <v>3375</v>
      </c>
      <c r="B1682" t="s">
        <v>2105</v>
      </c>
      <c r="C1682" t="s">
        <v>3362</v>
      </c>
      <c r="D1682" s="2">
        <v>3.4061275262276897E-2</v>
      </c>
      <c r="E1682" s="3">
        <v>13075359.860566</v>
      </c>
      <c r="F1682" s="3">
        <f t="shared" ref="F1682:F1713" si="26">E1682/6</f>
        <v>2179226.6434276667</v>
      </c>
      <c r="G1682" s="3">
        <f t="shared" ref="G1682:G1713" si="27">F1682/2</f>
        <v>1089613.3217138334</v>
      </c>
      <c r="H1682" t="s">
        <v>294</v>
      </c>
      <c r="I1682" t="s">
        <v>3470</v>
      </c>
      <c r="J1682" t="s">
        <v>1329</v>
      </c>
      <c r="K1682">
        <v>10.84</v>
      </c>
      <c r="L1682">
        <v>2.637</v>
      </c>
      <c r="M1682" s="1">
        <v>100</v>
      </c>
      <c r="N1682" s="1" t="s">
        <v>3658</v>
      </c>
    </row>
    <row r="1683" spans="1:14" x14ac:dyDescent="0.25">
      <c r="A1683" t="s">
        <v>3376</v>
      </c>
      <c r="B1683" t="s">
        <v>2105</v>
      </c>
      <c r="C1683" t="s">
        <v>3362</v>
      </c>
      <c r="D1683" s="2">
        <v>2.7411779420632401E-2</v>
      </c>
      <c r="E1683" s="3">
        <v>8104646.30152932</v>
      </c>
      <c r="F1683" s="3">
        <f t="shared" si="26"/>
        <v>1350774.38358822</v>
      </c>
      <c r="G1683" s="3">
        <f t="shared" si="27"/>
        <v>675387.19179411</v>
      </c>
      <c r="H1683" t="s">
        <v>162</v>
      </c>
      <c r="I1683" t="s">
        <v>3472</v>
      </c>
      <c r="J1683" t="s">
        <v>538</v>
      </c>
      <c r="K1683">
        <v>9.56</v>
      </c>
      <c r="L1683">
        <v>2.605</v>
      </c>
      <c r="M1683" s="1">
        <v>100</v>
      </c>
      <c r="N1683" s="1" t="s">
        <v>3658</v>
      </c>
    </row>
    <row r="1684" spans="1:14" x14ac:dyDescent="0.25">
      <c r="A1684" t="s">
        <v>3377</v>
      </c>
      <c r="B1684" t="s">
        <v>2105</v>
      </c>
      <c r="C1684" t="s">
        <v>3362</v>
      </c>
      <c r="D1684" s="2">
        <v>3.3551021152883997E-2</v>
      </c>
      <c r="E1684" s="3">
        <v>12926223.200123901</v>
      </c>
      <c r="F1684" s="3">
        <f t="shared" si="26"/>
        <v>2154370.5333539834</v>
      </c>
      <c r="G1684" s="3">
        <f t="shared" si="27"/>
        <v>1077185.2666769917</v>
      </c>
      <c r="H1684" t="s">
        <v>98</v>
      </c>
      <c r="I1684" t="s">
        <v>3475</v>
      </c>
      <c r="J1684" t="s">
        <v>475</v>
      </c>
      <c r="K1684">
        <v>11.48</v>
      </c>
      <c r="L1684">
        <v>2.613</v>
      </c>
      <c r="M1684" s="1">
        <v>100</v>
      </c>
      <c r="N1684" s="1" t="s">
        <v>3658</v>
      </c>
    </row>
    <row r="1685" spans="1:14" x14ac:dyDescent="0.25">
      <c r="A1685" t="s">
        <v>3378</v>
      </c>
      <c r="B1685" t="s">
        <v>2105</v>
      </c>
      <c r="C1685" t="s">
        <v>3362</v>
      </c>
      <c r="D1685" s="2">
        <v>2.72231113999938E-2</v>
      </c>
      <c r="E1685" s="3">
        <v>4735101.42295394</v>
      </c>
      <c r="F1685" s="3">
        <f t="shared" si="26"/>
        <v>789183.57049232337</v>
      </c>
      <c r="G1685" s="3">
        <f t="shared" si="27"/>
        <v>394591.78524616169</v>
      </c>
      <c r="H1685" t="s">
        <v>71</v>
      </c>
      <c r="I1685" t="s">
        <v>3478</v>
      </c>
      <c r="J1685" t="s">
        <v>3479</v>
      </c>
      <c r="K1685">
        <v>12.11</v>
      </c>
      <c r="L1685">
        <v>2.7010000000000001</v>
      </c>
      <c r="M1685" s="1">
        <v>100</v>
      </c>
      <c r="N1685" s="1" t="s">
        <v>3658</v>
      </c>
    </row>
    <row r="1686" spans="1:14" x14ac:dyDescent="0.25">
      <c r="A1686" t="s">
        <v>3379</v>
      </c>
      <c r="B1686" t="s">
        <v>2105</v>
      </c>
      <c r="C1686" t="s">
        <v>3362</v>
      </c>
      <c r="D1686" s="2">
        <v>2.79098188259932E-2</v>
      </c>
      <c r="E1686" s="3">
        <v>8569501.1027445607</v>
      </c>
      <c r="F1686" s="3">
        <f t="shared" si="26"/>
        <v>1428250.1837907601</v>
      </c>
      <c r="G1686" s="3">
        <f t="shared" si="27"/>
        <v>714125.09189538006</v>
      </c>
      <c r="H1686" t="s">
        <v>91</v>
      </c>
      <c r="I1686" t="s">
        <v>3481</v>
      </c>
      <c r="J1686" t="s">
        <v>2050</v>
      </c>
      <c r="K1686">
        <v>12.11</v>
      </c>
      <c r="L1686">
        <v>2.6579999999999999</v>
      </c>
      <c r="M1686" s="1">
        <v>100</v>
      </c>
      <c r="N1686" s="1" t="s">
        <v>3658</v>
      </c>
    </row>
    <row r="1687" spans="1:14" x14ac:dyDescent="0.25">
      <c r="A1687" t="s">
        <v>3380</v>
      </c>
      <c r="B1687" t="s">
        <v>2105</v>
      </c>
      <c r="C1687" t="s">
        <v>3362</v>
      </c>
      <c r="D1687" s="2">
        <v>5.5183738917625701E-2</v>
      </c>
      <c r="E1687" s="3">
        <v>20848528.802324601</v>
      </c>
      <c r="F1687" s="3">
        <f t="shared" si="26"/>
        <v>3474754.8003874333</v>
      </c>
      <c r="G1687" s="3">
        <f t="shared" si="27"/>
        <v>1737377.4001937166</v>
      </c>
      <c r="H1687" t="s">
        <v>62</v>
      </c>
      <c r="I1687" t="s">
        <v>1103</v>
      </c>
      <c r="J1687" t="s">
        <v>3483</v>
      </c>
      <c r="K1687">
        <v>9.56</v>
      </c>
      <c r="L1687">
        <v>2.492</v>
      </c>
      <c r="M1687" s="1">
        <v>100</v>
      </c>
      <c r="N1687" s="1" t="s">
        <v>3658</v>
      </c>
    </row>
    <row r="1688" spans="1:14" x14ac:dyDescent="0.25">
      <c r="A1688" t="s">
        <v>3381</v>
      </c>
      <c r="B1688" t="s">
        <v>2105</v>
      </c>
      <c r="C1688" t="s">
        <v>3362</v>
      </c>
      <c r="D1688" s="2">
        <v>4.3355761005029102E-2</v>
      </c>
      <c r="E1688" s="3">
        <v>17178568.2236063</v>
      </c>
      <c r="F1688" s="3">
        <f t="shared" si="26"/>
        <v>2863094.7039343831</v>
      </c>
      <c r="G1688" s="3">
        <f t="shared" si="27"/>
        <v>1431547.3519671916</v>
      </c>
      <c r="H1688" t="s">
        <v>56</v>
      </c>
      <c r="I1688" t="s">
        <v>2521</v>
      </c>
      <c r="J1688" t="s">
        <v>3485</v>
      </c>
      <c r="K1688">
        <v>8.93</v>
      </c>
      <c r="L1688">
        <v>2.5630000000000002</v>
      </c>
      <c r="M1688" s="1">
        <v>100</v>
      </c>
      <c r="N1688" s="1" t="s">
        <v>3658</v>
      </c>
    </row>
    <row r="1689" spans="1:14" x14ac:dyDescent="0.25">
      <c r="A1689" t="s">
        <v>3382</v>
      </c>
      <c r="B1689" t="s">
        <v>2105</v>
      </c>
      <c r="C1689" t="s">
        <v>3362</v>
      </c>
      <c r="D1689" s="2">
        <v>3.3673790911214398E-2</v>
      </c>
      <c r="E1689" s="3">
        <v>13188568.6299234</v>
      </c>
      <c r="F1689" s="3">
        <f t="shared" si="26"/>
        <v>2198094.7716538999</v>
      </c>
      <c r="G1689" s="3">
        <f t="shared" si="27"/>
        <v>1099047.38582695</v>
      </c>
      <c r="H1689" t="s">
        <v>114</v>
      </c>
      <c r="I1689" t="s">
        <v>3488</v>
      </c>
      <c r="J1689" t="s">
        <v>1007</v>
      </c>
      <c r="K1689">
        <v>10.84</v>
      </c>
      <c r="L1689">
        <v>2.5739999999999998</v>
      </c>
      <c r="M1689" s="1">
        <v>100</v>
      </c>
      <c r="N1689" s="1" t="s">
        <v>3658</v>
      </c>
    </row>
    <row r="1690" spans="1:14" x14ac:dyDescent="0.25">
      <c r="A1690" t="s">
        <v>3383</v>
      </c>
      <c r="B1690" t="s">
        <v>2105</v>
      </c>
      <c r="C1690" t="s">
        <v>3362</v>
      </c>
      <c r="D1690" s="2">
        <v>2.7481055357850399E-2</v>
      </c>
      <c r="E1690" s="3">
        <v>4698707.6675611604</v>
      </c>
      <c r="F1690" s="3">
        <f t="shared" si="26"/>
        <v>783117.94459352677</v>
      </c>
      <c r="G1690" s="3">
        <f t="shared" si="27"/>
        <v>391558.97229676339</v>
      </c>
      <c r="H1690" t="s">
        <v>207</v>
      </c>
      <c r="I1690" t="s">
        <v>3491</v>
      </c>
      <c r="J1690" t="s">
        <v>3492</v>
      </c>
      <c r="K1690">
        <v>9.56</v>
      </c>
      <c r="L1690">
        <v>2.5329999999999999</v>
      </c>
      <c r="M1690" s="1">
        <v>100</v>
      </c>
      <c r="N1690" s="1" t="s">
        <v>3658</v>
      </c>
    </row>
    <row r="1691" spans="1:14" x14ac:dyDescent="0.25">
      <c r="A1691" t="s">
        <v>3429</v>
      </c>
      <c r="B1691" t="s">
        <v>2105</v>
      </c>
      <c r="C1691" t="s">
        <v>3362</v>
      </c>
      <c r="D1691" s="2">
        <v>2.79652189464791E-2</v>
      </c>
      <c r="E1691" s="3">
        <v>4107491.1937038298</v>
      </c>
      <c r="F1691" s="3">
        <f t="shared" si="26"/>
        <v>684581.86561730492</v>
      </c>
      <c r="G1691" s="3">
        <f t="shared" si="27"/>
        <v>342290.93280865246</v>
      </c>
      <c r="H1691" t="s">
        <v>461</v>
      </c>
      <c r="I1691" t="s">
        <v>16</v>
      </c>
      <c r="J1691" t="s">
        <v>3653</v>
      </c>
      <c r="K1691">
        <v>12.11</v>
      </c>
      <c r="L1691">
        <v>2.6520000000000001</v>
      </c>
      <c r="M1691" s="1">
        <v>100</v>
      </c>
      <c r="N1691" s="1" t="s">
        <v>3658</v>
      </c>
    </row>
    <row r="1692" spans="1:14" x14ac:dyDescent="0.25">
      <c r="A1692" t="s">
        <v>3384</v>
      </c>
      <c r="B1692" t="s">
        <v>2105</v>
      </c>
      <c r="C1692" t="s">
        <v>3362</v>
      </c>
      <c r="D1692" s="2">
        <v>2.8503143240808299E-2</v>
      </c>
      <c r="E1692" s="3">
        <v>3807943.3279782198</v>
      </c>
      <c r="F1692" s="3">
        <f t="shared" si="26"/>
        <v>634657.22132970334</v>
      </c>
      <c r="G1692" s="3">
        <f t="shared" si="27"/>
        <v>317328.61066485167</v>
      </c>
      <c r="H1692" t="s">
        <v>745</v>
      </c>
      <c r="I1692" t="s">
        <v>3494</v>
      </c>
      <c r="J1692" t="s">
        <v>2769</v>
      </c>
      <c r="K1692">
        <v>8.2899999999999991</v>
      </c>
      <c r="L1692">
        <v>2.593</v>
      </c>
      <c r="M1692" s="1">
        <v>100</v>
      </c>
      <c r="N1692" s="1" t="s">
        <v>3658</v>
      </c>
    </row>
    <row r="1693" spans="1:14" x14ac:dyDescent="0.25">
      <c r="A1693" t="s">
        <v>3385</v>
      </c>
      <c r="B1693" t="s">
        <v>2105</v>
      </c>
      <c r="C1693" t="s">
        <v>3362</v>
      </c>
      <c r="D1693" s="2">
        <v>4.0636245149679499E-2</v>
      </c>
      <c r="E1693" s="3">
        <v>15335395.138520001</v>
      </c>
      <c r="F1693" s="3">
        <f t="shared" si="26"/>
        <v>2555899.1897533336</v>
      </c>
      <c r="G1693" s="3">
        <f t="shared" si="27"/>
        <v>1277949.5948766668</v>
      </c>
      <c r="H1693" t="s">
        <v>893</v>
      </c>
      <c r="I1693" t="s">
        <v>14</v>
      </c>
      <c r="J1693" t="s">
        <v>3495</v>
      </c>
      <c r="K1693">
        <v>8.93</v>
      </c>
      <c r="L1693">
        <v>2.7160000000000002</v>
      </c>
      <c r="M1693" s="1">
        <v>100</v>
      </c>
      <c r="N1693" s="1" t="s">
        <v>3658</v>
      </c>
    </row>
    <row r="1694" spans="1:14" x14ac:dyDescent="0.25">
      <c r="A1694" t="s">
        <v>3386</v>
      </c>
      <c r="B1694" t="s">
        <v>2105</v>
      </c>
      <c r="C1694" t="s">
        <v>3362</v>
      </c>
      <c r="D1694" s="2">
        <v>2.7263571008870901E-2</v>
      </c>
      <c r="E1694" s="3">
        <v>4735694.8250190504</v>
      </c>
      <c r="F1694" s="3">
        <f t="shared" si="26"/>
        <v>789282.47083650844</v>
      </c>
      <c r="G1694" s="3">
        <f t="shared" si="27"/>
        <v>394641.23541825422</v>
      </c>
      <c r="H1694" t="s">
        <v>324</v>
      </c>
      <c r="I1694" t="s">
        <v>3498</v>
      </c>
      <c r="J1694" t="s">
        <v>3247</v>
      </c>
      <c r="K1694">
        <v>13.39</v>
      </c>
      <c r="L1694">
        <v>2.66</v>
      </c>
      <c r="M1694" s="1">
        <v>100</v>
      </c>
      <c r="N1694" s="1" t="s">
        <v>3658</v>
      </c>
    </row>
    <row r="1695" spans="1:14" x14ac:dyDescent="0.25">
      <c r="A1695" t="s">
        <v>3387</v>
      </c>
      <c r="B1695" t="s">
        <v>2105</v>
      </c>
      <c r="C1695" t="s">
        <v>3362</v>
      </c>
      <c r="D1695" s="2">
        <v>2.7667617903637299E-2</v>
      </c>
      <c r="E1695" s="3">
        <v>8544442.00505496</v>
      </c>
      <c r="F1695" s="3">
        <f t="shared" si="26"/>
        <v>1424073.66750916</v>
      </c>
      <c r="G1695" s="3">
        <f t="shared" si="27"/>
        <v>712036.83375458</v>
      </c>
      <c r="H1695" t="s">
        <v>98</v>
      </c>
      <c r="I1695" t="s">
        <v>327</v>
      </c>
      <c r="J1695" t="s">
        <v>1026</v>
      </c>
      <c r="K1695">
        <v>10.84</v>
      </c>
      <c r="L1695">
        <v>2.5859999999999999</v>
      </c>
      <c r="M1695" s="1">
        <v>100</v>
      </c>
      <c r="N1695" s="1" t="s">
        <v>3658</v>
      </c>
    </row>
    <row r="1696" spans="1:14" x14ac:dyDescent="0.25">
      <c r="A1696" t="s">
        <v>3388</v>
      </c>
      <c r="B1696" t="s">
        <v>2105</v>
      </c>
      <c r="C1696" t="s">
        <v>3362</v>
      </c>
      <c r="D1696" s="2">
        <v>2.68345471978719E-2</v>
      </c>
      <c r="E1696" s="3">
        <v>6074547.1496682204</v>
      </c>
      <c r="F1696" s="3">
        <f t="shared" si="26"/>
        <v>1012424.5249447034</v>
      </c>
      <c r="G1696" s="3">
        <f t="shared" si="27"/>
        <v>506212.26247235172</v>
      </c>
      <c r="H1696" t="s">
        <v>893</v>
      </c>
      <c r="I1696" t="s">
        <v>590</v>
      </c>
      <c r="J1696" t="s">
        <v>3503</v>
      </c>
      <c r="K1696">
        <v>10.84</v>
      </c>
      <c r="L1696">
        <v>2.5</v>
      </c>
      <c r="M1696" s="1">
        <v>100</v>
      </c>
      <c r="N1696" s="1" t="s">
        <v>3658</v>
      </c>
    </row>
    <row r="1697" spans="1:14" x14ac:dyDescent="0.25">
      <c r="A1697" t="s">
        <v>3389</v>
      </c>
      <c r="B1697" t="s">
        <v>2105</v>
      </c>
      <c r="C1697" t="s">
        <v>3362</v>
      </c>
      <c r="D1697" s="2">
        <v>3.1156776151445301E-2</v>
      </c>
      <c r="E1697" s="3">
        <v>12021069.921629099</v>
      </c>
      <c r="F1697" s="3">
        <f t="shared" si="26"/>
        <v>2003511.6536048499</v>
      </c>
      <c r="G1697" s="3">
        <f t="shared" si="27"/>
        <v>1001755.826802425</v>
      </c>
      <c r="H1697" t="s">
        <v>207</v>
      </c>
      <c r="I1697" t="s">
        <v>3504</v>
      </c>
      <c r="J1697" t="s">
        <v>3505</v>
      </c>
      <c r="K1697">
        <v>10.84</v>
      </c>
      <c r="L1697">
        <v>2.504</v>
      </c>
      <c r="M1697" s="1">
        <v>100</v>
      </c>
      <c r="N1697" s="1" t="s">
        <v>3658</v>
      </c>
    </row>
    <row r="1698" spans="1:14" x14ac:dyDescent="0.25">
      <c r="A1698" t="s">
        <v>3390</v>
      </c>
      <c r="B1698" t="s">
        <v>2105</v>
      </c>
      <c r="C1698" t="s">
        <v>3362</v>
      </c>
      <c r="D1698" s="2">
        <v>2.6818114688727499E-2</v>
      </c>
      <c r="E1698" s="3">
        <v>6162269.8318243101</v>
      </c>
      <c r="F1698" s="3">
        <f t="shared" si="26"/>
        <v>1027044.9719707184</v>
      </c>
      <c r="G1698" s="3">
        <f t="shared" si="27"/>
        <v>513522.48598535918</v>
      </c>
      <c r="H1698" t="s">
        <v>284</v>
      </c>
      <c r="I1698" t="s">
        <v>3506</v>
      </c>
      <c r="J1698" t="s">
        <v>3507</v>
      </c>
      <c r="K1698">
        <v>12.11</v>
      </c>
      <c r="L1698">
        <v>2.5049999999999999</v>
      </c>
      <c r="M1698" s="1">
        <v>100</v>
      </c>
      <c r="N1698" s="1" t="s">
        <v>3658</v>
      </c>
    </row>
    <row r="1699" spans="1:14" x14ac:dyDescent="0.25">
      <c r="A1699" t="s">
        <v>3391</v>
      </c>
      <c r="B1699" t="s">
        <v>2105</v>
      </c>
      <c r="C1699" t="s">
        <v>3362</v>
      </c>
      <c r="D1699" s="2">
        <v>2.6823034606863801E-2</v>
      </c>
      <c r="E1699" s="3">
        <v>6781476.9297737796</v>
      </c>
      <c r="F1699" s="3">
        <f t="shared" si="26"/>
        <v>1130246.1549622966</v>
      </c>
      <c r="G1699" s="3">
        <f t="shared" si="27"/>
        <v>565123.0774811483</v>
      </c>
      <c r="H1699" t="s">
        <v>124</v>
      </c>
      <c r="I1699" t="s">
        <v>1346</v>
      </c>
      <c r="J1699" t="s">
        <v>3510</v>
      </c>
      <c r="K1699">
        <v>10.84</v>
      </c>
      <c r="L1699">
        <v>2.5219999999999998</v>
      </c>
      <c r="M1699" s="1">
        <v>100</v>
      </c>
      <c r="N1699" s="1" t="s">
        <v>3658</v>
      </c>
    </row>
    <row r="1700" spans="1:14" x14ac:dyDescent="0.25">
      <c r="A1700" t="s">
        <v>3392</v>
      </c>
      <c r="B1700" t="s">
        <v>2105</v>
      </c>
      <c r="C1700" t="s">
        <v>3362</v>
      </c>
      <c r="D1700" s="2">
        <v>2.7471691285897E-2</v>
      </c>
      <c r="E1700" s="3">
        <v>8177744.0546985501</v>
      </c>
      <c r="F1700" s="3">
        <f t="shared" si="26"/>
        <v>1362957.3424497584</v>
      </c>
      <c r="G1700" s="3">
        <f t="shared" si="27"/>
        <v>681478.67122487922</v>
      </c>
      <c r="H1700" t="s">
        <v>232</v>
      </c>
      <c r="I1700" t="s">
        <v>3513</v>
      </c>
      <c r="J1700" t="s">
        <v>3514</v>
      </c>
      <c r="K1700">
        <v>9.56</v>
      </c>
      <c r="L1700">
        <v>2.609</v>
      </c>
      <c r="M1700" s="1">
        <v>100</v>
      </c>
      <c r="N1700" s="1" t="s">
        <v>3658</v>
      </c>
    </row>
    <row r="1701" spans="1:14" x14ac:dyDescent="0.25">
      <c r="A1701" t="s">
        <v>3393</v>
      </c>
      <c r="B1701" t="s">
        <v>2105</v>
      </c>
      <c r="C1701" t="s">
        <v>3362</v>
      </c>
      <c r="D1701" s="2">
        <v>3.0595978228370901E-2</v>
      </c>
      <c r="E1701" s="3">
        <v>2843102.1451368299</v>
      </c>
      <c r="F1701" s="3">
        <f t="shared" si="26"/>
        <v>473850.35752280499</v>
      </c>
      <c r="G1701" s="3">
        <f t="shared" si="27"/>
        <v>236925.17876140249</v>
      </c>
      <c r="H1701" t="s">
        <v>150</v>
      </c>
      <c r="I1701" t="s">
        <v>1425</v>
      </c>
      <c r="J1701" t="s">
        <v>3517</v>
      </c>
      <c r="K1701">
        <v>10.84</v>
      </c>
      <c r="L1701">
        <v>2.6320000000000001</v>
      </c>
      <c r="M1701" s="1">
        <v>100</v>
      </c>
      <c r="N1701" s="1" t="s">
        <v>3658</v>
      </c>
    </row>
    <row r="1702" spans="1:14" x14ac:dyDescent="0.25">
      <c r="A1702" t="s">
        <v>3394</v>
      </c>
      <c r="B1702" t="s">
        <v>2105</v>
      </c>
      <c r="C1702" t="s">
        <v>3362</v>
      </c>
      <c r="D1702" s="2">
        <v>2.9092246517729799E-2</v>
      </c>
      <c r="E1702" s="3">
        <v>10311940.8842082</v>
      </c>
      <c r="F1702" s="3">
        <f t="shared" si="26"/>
        <v>1718656.8140347002</v>
      </c>
      <c r="G1702" s="3">
        <f t="shared" si="27"/>
        <v>859328.40701735008</v>
      </c>
      <c r="H1702" t="s">
        <v>324</v>
      </c>
      <c r="I1702" t="s">
        <v>69</v>
      </c>
      <c r="J1702" t="s">
        <v>3520</v>
      </c>
      <c r="K1702">
        <v>13.39</v>
      </c>
      <c r="L1702">
        <v>2.5249999999999999</v>
      </c>
      <c r="M1702" s="1">
        <v>100</v>
      </c>
      <c r="N1702" s="1" t="s">
        <v>3658</v>
      </c>
    </row>
    <row r="1703" spans="1:14" x14ac:dyDescent="0.25">
      <c r="A1703" t="s">
        <v>3395</v>
      </c>
      <c r="B1703" t="s">
        <v>2105</v>
      </c>
      <c r="C1703" t="s">
        <v>3362</v>
      </c>
      <c r="D1703" s="2">
        <v>2.75848193032871E-2</v>
      </c>
      <c r="E1703" s="3">
        <v>4642444.0757997101</v>
      </c>
      <c r="F1703" s="3">
        <f t="shared" si="26"/>
        <v>773740.67929995165</v>
      </c>
      <c r="G1703" s="3">
        <f t="shared" si="27"/>
        <v>386870.33964997582</v>
      </c>
      <c r="H1703" t="s">
        <v>45</v>
      </c>
      <c r="I1703" t="s">
        <v>3523</v>
      </c>
      <c r="J1703" t="s">
        <v>1142</v>
      </c>
      <c r="K1703">
        <v>10.84</v>
      </c>
      <c r="L1703">
        <v>2.5219999999999998</v>
      </c>
      <c r="M1703" s="1">
        <v>100</v>
      </c>
      <c r="N1703" s="1" t="s">
        <v>3658</v>
      </c>
    </row>
    <row r="1704" spans="1:14" x14ac:dyDescent="0.25">
      <c r="A1704" t="s">
        <v>3396</v>
      </c>
      <c r="B1704" t="s">
        <v>2105</v>
      </c>
      <c r="C1704" t="s">
        <v>3362</v>
      </c>
      <c r="D1704" s="2">
        <v>2.9548143352786198E-2</v>
      </c>
      <c r="E1704" s="3">
        <v>10950947.4596886</v>
      </c>
      <c r="F1704" s="3">
        <f t="shared" si="26"/>
        <v>1825157.9099481001</v>
      </c>
      <c r="G1704" s="3">
        <f t="shared" si="27"/>
        <v>912578.95497405005</v>
      </c>
      <c r="H1704" t="s">
        <v>76</v>
      </c>
      <c r="I1704" t="s">
        <v>704</v>
      </c>
      <c r="J1704" t="s">
        <v>371</v>
      </c>
      <c r="K1704">
        <v>10.199999999999999</v>
      </c>
      <c r="L1704">
        <v>2.468</v>
      </c>
      <c r="M1704" s="1">
        <v>100</v>
      </c>
      <c r="N1704" s="1" t="s">
        <v>3658</v>
      </c>
    </row>
    <row r="1705" spans="1:14" x14ac:dyDescent="0.25">
      <c r="A1705" t="s">
        <v>3397</v>
      </c>
      <c r="B1705" t="s">
        <v>2105</v>
      </c>
      <c r="C1705" t="s">
        <v>3362</v>
      </c>
      <c r="D1705" s="2">
        <v>2.9936753270443602E-2</v>
      </c>
      <c r="E1705" s="3">
        <v>11416485.359978599</v>
      </c>
      <c r="F1705" s="3">
        <f t="shared" si="26"/>
        <v>1902747.5599964333</v>
      </c>
      <c r="G1705" s="3">
        <f t="shared" si="27"/>
        <v>951373.77999821666</v>
      </c>
      <c r="H1705" t="s">
        <v>308</v>
      </c>
      <c r="I1705" t="s">
        <v>2989</v>
      </c>
      <c r="J1705" t="s">
        <v>3528</v>
      </c>
      <c r="K1705">
        <v>7.65</v>
      </c>
      <c r="L1705">
        <v>2.4420000000000002</v>
      </c>
      <c r="M1705" s="1">
        <v>100</v>
      </c>
      <c r="N1705" s="1" t="s">
        <v>3658</v>
      </c>
    </row>
    <row r="1706" spans="1:14" x14ac:dyDescent="0.25">
      <c r="A1706" t="s">
        <v>3398</v>
      </c>
      <c r="B1706" t="s">
        <v>2105</v>
      </c>
      <c r="C1706" t="s">
        <v>3362</v>
      </c>
      <c r="D1706" s="2">
        <v>3.9192568100361501E-2</v>
      </c>
      <c r="E1706" s="3">
        <v>16197609.6837836</v>
      </c>
      <c r="F1706" s="3">
        <f t="shared" si="26"/>
        <v>2699601.6139639332</v>
      </c>
      <c r="G1706" s="3">
        <f t="shared" si="27"/>
        <v>1349800.8069819666</v>
      </c>
      <c r="H1706" t="s">
        <v>297</v>
      </c>
      <c r="I1706" t="s">
        <v>1010</v>
      </c>
      <c r="J1706" t="s">
        <v>3530</v>
      </c>
      <c r="K1706">
        <v>8.93</v>
      </c>
      <c r="L1706">
        <v>2.488</v>
      </c>
      <c r="M1706" s="1">
        <v>100</v>
      </c>
      <c r="N1706" s="1" t="s">
        <v>3658</v>
      </c>
    </row>
    <row r="1707" spans="1:14" x14ac:dyDescent="0.25">
      <c r="A1707" t="s">
        <v>3399</v>
      </c>
      <c r="B1707" t="s">
        <v>2105</v>
      </c>
      <c r="C1707" t="s">
        <v>3362</v>
      </c>
      <c r="D1707" s="2">
        <v>2.90331326242338E-2</v>
      </c>
      <c r="E1707" s="3">
        <v>10296742.351936299</v>
      </c>
      <c r="F1707" s="3">
        <f t="shared" si="26"/>
        <v>1716123.7253227166</v>
      </c>
      <c r="G1707" s="3">
        <f t="shared" si="27"/>
        <v>858061.86266135832</v>
      </c>
      <c r="H1707" t="s">
        <v>56</v>
      </c>
      <c r="I1707" t="s">
        <v>3102</v>
      </c>
      <c r="J1707" t="s">
        <v>3533</v>
      </c>
      <c r="K1707">
        <v>10.199999999999999</v>
      </c>
      <c r="L1707">
        <v>2.5169999999999999</v>
      </c>
      <c r="M1707" s="1">
        <v>100</v>
      </c>
      <c r="N1707" s="1" t="s">
        <v>3658</v>
      </c>
    </row>
    <row r="1708" spans="1:14" x14ac:dyDescent="0.25">
      <c r="A1708" t="s">
        <v>3400</v>
      </c>
      <c r="B1708" t="s">
        <v>2105</v>
      </c>
      <c r="C1708" t="s">
        <v>3362</v>
      </c>
      <c r="D1708" s="2">
        <v>3.6748185901734801E-2</v>
      </c>
      <c r="E1708" s="3">
        <v>14362580.224398499</v>
      </c>
      <c r="F1708" s="3">
        <f t="shared" si="26"/>
        <v>2393763.3707330832</v>
      </c>
      <c r="G1708" s="3">
        <f t="shared" si="27"/>
        <v>1196881.6853665416</v>
      </c>
      <c r="H1708" t="s">
        <v>17</v>
      </c>
      <c r="I1708" t="s">
        <v>3535</v>
      </c>
      <c r="J1708" t="s">
        <v>3536</v>
      </c>
      <c r="K1708">
        <v>9.56</v>
      </c>
      <c r="L1708">
        <v>2.625</v>
      </c>
      <c r="M1708" s="1">
        <v>100</v>
      </c>
      <c r="N1708" s="1" t="s">
        <v>3658</v>
      </c>
    </row>
    <row r="1709" spans="1:14" x14ac:dyDescent="0.25">
      <c r="A1709" t="s">
        <v>3401</v>
      </c>
      <c r="B1709" t="s">
        <v>2105</v>
      </c>
      <c r="C1709" t="s">
        <v>3362</v>
      </c>
      <c r="D1709" s="2">
        <v>2.9354851820218901E-2</v>
      </c>
      <c r="E1709" s="3">
        <v>10102748.6699482</v>
      </c>
      <c r="F1709" s="3">
        <f t="shared" si="26"/>
        <v>1683791.4449913667</v>
      </c>
      <c r="G1709" s="3">
        <f t="shared" si="27"/>
        <v>841895.72249568335</v>
      </c>
      <c r="H1709" t="s">
        <v>893</v>
      </c>
      <c r="I1709" t="s">
        <v>3538</v>
      </c>
      <c r="J1709" t="s">
        <v>1426</v>
      </c>
      <c r="K1709">
        <v>10.199999999999999</v>
      </c>
      <c r="L1709">
        <v>2.6349999999999998</v>
      </c>
      <c r="M1709" s="1">
        <v>100</v>
      </c>
      <c r="N1709" s="1" t="s">
        <v>3658</v>
      </c>
    </row>
    <row r="1710" spans="1:14" x14ac:dyDescent="0.25">
      <c r="A1710" t="s">
        <v>3402</v>
      </c>
      <c r="B1710" t="s">
        <v>2105</v>
      </c>
      <c r="C1710" t="s">
        <v>3362</v>
      </c>
      <c r="D1710" s="2">
        <v>3.0483040031134799E-2</v>
      </c>
      <c r="E1710" s="3">
        <v>11388661.699337199</v>
      </c>
      <c r="F1710" s="3">
        <f t="shared" si="26"/>
        <v>1898110.2832228665</v>
      </c>
      <c r="G1710" s="3">
        <f t="shared" si="27"/>
        <v>949055.14161143324</v>
      </c>
      <c r="H1710" t="s">
        <v>232</v>
      </c>
      <c r="I1710" t="s">
        <v>3541</v>
      </c>
      <c r="J1710" t="s">
        <v>3542</v>
      </c>
      <c r="K1710">
        <v>12.11</v>
      </c>
      <c r="L1710">
        <v>2.5379999999999998</v>
      </c>
      <c r="M1710" s="1">
        <v>100</v>
      </c>
      <c r="N1710" s="1" t="s">
        <v>3658</v>
      </c>
    </row>
    <row r="1711" spans="1:14" x14ac:dyDescent="0.25">
      <c r="A1711" t="s">
        <v>3403</v>
      </c>
      <c r="B1711" t="s">
        <v>2105</v>
      </c>
      <c r="C1711" t="s">
        <v>3362</v>
      </c>
      <c r="D1711" s="2">
        <v>2.8739785336360901E-2</v>
      </c>
      <c r="E1711" s="3">
        <v>10188742.1493067</v>
      </c>
      <c r="F1711" s="3">
        <f t="shared" si="26"/>
        <v>1698123.6915511165</v>
      </c>
      <c r="G1711" s="3">
        <f t="shared" si="27"/>
        <v>849061.84577555826</v>
      </c>
      <c r="H1711" t="s">
        <v>198</v>
      </c>
      <c r="I1711" t="s">
        <v>3544</v>
      </c>
      <c r="J1711" t="s">
        <v>3545</v>
      </c>
      <c r="K1711">
        <v>8.2899999999999991</v>
      </c>
      <c r="L1711">
        <v>2.4740000000000002</v>
      </c>
      <c r="M1711" s="1">
        <v>100</v>
      </c>
      <c r="N1711" s="1" t="s">
        <v>3658</v>
      </c>
    </row>
    <row r="1712" spans="1:14" x14ac:dyDescent="0.25">
      <c r="A1712" t="s">
        <v>3404</v>
      </c>
      <c r="B1712" t="s">
        <v>2105</v>
      </c>
      <c r="C1712" t="s">
        <v>3362</v>
      </c>
      <c r="D1712" s="2">
        <v>2.7353297282877002E-2</v>
      </c>
      <c r="E1712" s="3">
        <v>8473030.5201531705</v>
      </c>
      <c r="F1712" s="3">
        <f t="shared" si="26"/>
        <v>1412171.7533588617</v>
      </c>
      <c r="G1712" s="3">
        <f t="shared" si="27"/>
        <v>706085.87667943083</v>
      </c>
      <c r="H1712" t="s">
        <v>76</v>
      </c>
      <c r="I1712" t="s">
        <v>3548</v>
      </c>
      <c r="J1712" t="s">
        <v>3549</v>
      </c>
      <c r="K1712">
        <v>8.2899999999999991</v>
      </c>
      <c r="L1712">
        <v>2.4540000000000002</v>
      </c>
      <c r="M1712" s="1">
        <v>100</v>
      </c>
      <c r="N1712" s="1" t="s">
        <v>3658</v>
      </c>
    </row>
    <row r="1713" spans="1:14" x14ac:dyDescent="0.25">
      <c r="A1713" t="s">
        <v>3405</v>
      </c>
      <c r="B1713" t="s">
        <v>2105</v>
      </c>
      <c r="C1713" t="s">
        <v>3362</v>
      </c>
      <c r="D1713" s="2">
        <v>2.6812461658285301E-2</v>
      </c>
      <c r="E1713" s="3">
        <v>6483243.85707979</v>
      </c>
      <c r="F1713" s="3">
        <f t="shared" si="26"/>
        <v>1080540.6428466316</v>
      </c>
      <c r="G1713" s="3">
        <f t="shared" si="27"/>
        <v>540270.32142331579</v>
      </c>
      <c r="H1713" t="s">
        <v>124</v>
      </c>
      <c r="I1713" t="s">
        <v>3551</v>
      </c>
      <c r="J1713" t="s">
        <v>3552</v>
      </c>
      <c r="K1713">
        <v>10.199999999999999</v>
      </c>
      <c r="L1713">
        <v>2.4119999999999999</v>
      </c>
      <c r="M1713" s="1">
        <v>100</v>
      </c>
      <c r="N1713" s="1" t="s">
        <v>3658</v>
      </c>
    </row>
    <row r="1714" spans="1:14" x14ac:dyDescent="0.25">
      <c r="A1714" t="s">
        <v>3406</v>
      </c>
      <c r="B1714" t="s">
        <v>2105</v>
      </c>
      <c r="C1714" t="s">
        <v>3362</v>
      </c>
      <c r="D1714" s="2">
        <v>2.8675185564358299E-2</v>
      </c>
      <c r="E1714" s="3">
        <v>3856360.4433412198</v>
      </c>
      <c r="F1714" s="3">
        <f t="shared" ref="F1714:F1729" si="28">E1714/6</f>
        <v>642726.74055687001</v>
      </c>
      <c r="G1714" s="3">
        <f t="shared" ref="G1714:G1729" si="29">F1714/2</f>
        <v>321363.370278435</v>
      </c>
      <c r="H1714" t="s">
        <v>227</v>
      </c>
      <c r="I1714" t="s">
        <v>3555</v>
      </c>
      <c r="J1714" t="s">
        <v>3556</v>
      </c>
      <c r="K1714">
        <v>10.84</v>
      </c>
      <c r="L1714">
        <v>2.4670000000000001</v>
      </c>
      <c r="M1714" s="1">
        <v>100</v>
      </c>
      <c r="N1714" s="1" t="s">
        <v>3658</v>
      </c>
    </row>
    <row r="1715" spans="1:14" x14ac:dyDescent="0.25">
      <c r="A1715" t="s">
        <v>3407</v>
      </c>
      <c r="B1715" t="s">
        <v>2105</v>
      </c>
      <c r="C1715" t="s">
        <v>3362</v>
      </c>
      <c r="D1715" s="2">
        <v>2.6879213809328301E-2</v>
      </c>
      <c r="E1715" s="3">
        <v>5772318.7816034602</v>
      </c>
      <c r="F1715" s="3">
        <f t="shared" si="28"/>
        <v>962053.13026724337</v>
      </c>
      <c r="G1715" s="3">
        <f t="shared" si="29"/>
        <v>481026.56513362168</v>
      </c>
      <c r="H1715" t="s">
        <v>284</v>
      </c>
      <c r="I1715" t="s">
        <v>3559</v>
      </c>
      <c r="J1715" t="s">
        <v>3560</v>
      </c>
      <c r="K1715">
        <v>9.56</v>
      </c>
      <c r="L1715">
        <v>2.5379999999999998</v>
      </c>
      <c r="M1715" s="1">
        <v>100</v>
      </c>
      <c r="N1715" s="1" t="s">
        <v>3658</v>
      </c>
    </row>
    <row r="1716" spans="1:14" x14ac:dyDescent="0.25">
      <c r="A1716" t="s">
        <v>1926</v>
      </c>
      <c r="B1716" t="s">
        <v>2105</v>
      </c>
      <c r="C1716" t="s">
        <v>3362</v>
      </c>
      <c r="D1716" s="2">
        <v>3.0564513773787501E-2</v>
      </c>
      <c r="E1716" s="3">
        <v>11117690.361719901</v>
      </c>
      <c r="F1716" s="3">
        <f t="shared" si="28"/>
        <v>1852948.3936199835</v>
      </c>
      <c r="G1716" s="3">
        <f t="shared" si="29"/>
        <v>926474.19680999173</v>
      </c>
      <c r="H1716" t="s">
        <v>62</v>
      </c>
      <c r="I1716" t="s">
        <v>3562</v>
      </c>
      <c r="J1716" t="s">
        <v>3563</v>
      </c>
      <c r="K1716">
        <v>10.199999999999999</v>
      </c>
      <c r="L1716">
        <v>2.61</v>
      </c>
      <c r="M1716" s="1">
        <v>100</v>
      </c>
      <c r="N1716" s="1" t="s">
        <v>3658</v>
      </c>
    </row>
    <row r="1717" spans="1:14" x14ac:dyDescent="0.25">
      <c r="A1717" t="s">
        <v>3408</v>
      </c>
      <c r="B1717" t="s">
        <v>2105</v>
      </c>
      <c r="C1717" t="s">
        <v>3362</v>
      </c>
      <c r="D1717" s="2">
        <v>2.6891696439903402E-2</v>
      </c>
      <c r="E1717" s="3">
        <v>6923931.9244775604</v>
      </c>
      <c r="F1717" s="3">
        <f t="shared" si="28"/>
        <v>1153988.6540795935</v>
      </c>
      <c r="G1717" s="3">
        <f t="shared" si="29"/>
        <v>576994.32703979674</v>
      </c>
      <c r="H1717" t="s">
        <v>76</v>
      </c>
      <c r="I1717" t="s">
        <v>3565</v>
      </c>
      <c r="J1717" t="s">
        <v>2283</v>
      </c>
      <c r="K1717">
        <v>12.11</v>
      </c>
      <c r="L1717">
        <v>2.5979999999999999</v>
      </c>
      <c r="M1717" s="1">
        <v>100</v>
      </c>
      <c r="N1717" s="1" t="s">
        <v>3658</v>
      </c>
    </row>
    <row r="1718" spans="1:14" x14ac:dyDescent="0.25">
      <c r="A1718" t="s">
        <v>3409</v>
      </c>
      <c r="B1718" t="s">
        <v>2105</v>
      </c>
      <c r="C1718" t="s">
        <v>3362</v>
      </c>
      <c r="D1718" s="2">
        <v>2.9308497822775399E-2</v>
      </c>
      <c r="E1718" s="3">
        <v>10550882.4237097</v>
      </c>
      <c r="F1718" s="3">
        <f t="shared" si="28"/>
        <v>1758480.4039516167</v>
      </c>
      <c r="G1718" s="3">
        <f t="shared" si="29"/>
        <v>879240.20197580836</v>
      </c>
      <c r="H1718" t="s">
        <v>162</v>
      </c>
      <c r="I1718" t="s">
        <v>1303</v>
      </c>
      <c r="J1718" t="s">
        <v>3567</v>
      </c>
      <c r="K1718">
        <v>12.75</v>
      </c>
      <c r="L1718">
        <v>2.516</v>
      </c>
      <c r="M1718" s="1">
        <v>100</v>
      </c>
      <c r="N1718" s="1" t="s">
        <v>3658</v>
      </c>
    </row>
    <row r="1719" spans="1:14" x14ac:dyDescent="0.25">
      <c r="A1719" t="s">
        <v>1930</v>
      </c>
      <c r="B1719" t="s">
        <v>2105</v>
      </c>
      <c r="C1719" t="s">
        <v>3362</v>
      </c>
      <c r="D1719" s="2">
        <v>4.33451603862198E-2</v>
      </c>
      <c r="E1719" s="3">
        <v>1760886.4865464401</v>
      </c>
      <c r="F1719" s="3">
        <f t="shared" si="28"/>
        <v>293481.08109107334</v>
      </c>
      <c r="G1719" s="3">
        <f t="shared" si="29"/>
        <v>146740.54054553667</v>
      </c>
      <c r="H1719" t="s">
        <v>516</v>
      </c>
      <c r="I1719" t="s">
        <v>681</v>
      </c>
      <c r="J1719" t="s">
        <v>3485</v>
      </c>
      <c r="K1719">
        <v>9.56</v>
      </c>
      <c r="L1719">
        <v>2.5009999999999999</v>
      </c>
      <c r="M1719" s="1">
        <v>10</v>
      </c>
      <c r="N1719" s="1" t="s">
        <v>3658</v>
      </c>
    </row>
    <row r="1720" spans="1:14" x14ac:dyDescent="0.25">
      <c r="A1720" t="s">
        <v>3421</v>
      </c>
      <c r="B1720" t="s">
        <v>2105</v>
      </c>
      <c r="C1720" t="s">
        <v>3362</v>
      </c>
      <c r="D1720" s="2">
        <v>2.76020549570683E-2</v>
      </c>
      <c r="E1720" s="3">
        <v>438444.31276581797</v>
      </c>
      <c r="F1720" s="3">
        <f t="shared" si="28"/>
        <v>73074.052127636329</v>
      </c>
      <c r="G1720" s="3">
        <f t="shared" si="29"/>
        <v>36537.026063818164</v>
      </c>
      <c r="H1720" t="s">
        <v>552</v>
      </c>
      <c r="I1720" t="s">
        <v>3612</v>
      </c>
      <c r="J1720" t="s">
        <v>3613</v>
      </c>
      <c r="K1720">
        <v>12.11</v>
      </c>
      <c r="L1720">
        <v>2.6549999999999998</v>
      </c>
      <c r="M1720" s="1">
        <v>10</v>
      </c>
      <c r="N1720" s="1" t="s">
        <v>3658</v>
      </c>
    </row>
    <row r="1721" spans="1:14" x14ac:dyDescent="0.25">
      <c r="A1721" t="s">
        <v>1939</v>
      </c>
      <c r="B1721" t="s">
        <v>2105</v>
      </c>
      <c r="C1721" t="s">
        <v>3362</v>
      </c>
      <c r="D1721" s="2">
        <v>3.6152778806588397E-2</v>
      </c>
      <c r="E1721" s="3">
        <v>13981312.197767699</v>
      </c>
      <c r="F1721" s="3">
        <f t="shared" si="28"/>
        <v>2330218.6996279499</v>
      </c>
      <c r="G1721" s="3">
        <f t="shared" si="29"/>
        <v>1165109.3498139749</v>
      </c>
      <c r="H1721" t="s">
        <v>284</v>
      </c>
      <c r="I1721" t="s">
        <v>3616</v>
      </c>
      <c r="J1721" t="s">
        <v>962</v>
      </c>
      <c r="K1721">
        <v>13.39</v>
      </c>
      <c r="L1721">
        <v>2.649</v>
      </c>
      <c r="M1721" s="1">
        <v>100</v>
      </c>
      <c r="N1721" s="1" t="s">
        <v>3658</v>
      </c>
    </row>
    <row r="1722" spans="1:14" x14ac:dyDescent="0.25">
      <c r="A1722" t="s">
        <v>1940</v>
      </c>
      <c r="B1722" t="s">
        <v>2105</v>
      </c>
      <c r="C1722" t="s">
        <v>3362</v>
      </c>
      <c r="D1722" s="2">
        <v>3.1262151039711E-2</v>
      </c>
      <c r="E1722" s="3">
        <v>281119.83386144403</v>
      </c>
      <c r="F1722" s="3">
        <f t="shared" si="28"/>
        <v>46853.305643574007</v>
      </c>
      <c r="G1722" s="3">
        <f t="shared" si="29"/>
        <v>23426.652821787004</v>
      </c>
      <c r="H1722" t="s">
        <v>56</v>
      </c>
      <c r="I1722" t="s">
        <v>3622</v>
      </c>
      <c r="J1722" t="s">
        <v>3623</v>
      </c>
      <c r="K1722">
        <v>9.56</v>
      </c>
      <c r="L1722">
        <v>2.4729999999999999</v>
      </c>
      <c r="M1722" s="1">
        <v>10</v>
      </c>
      <c r="N1722" s="1" t="s">
        <v>3658</v>
      </c>
    </row>
    <row r="1723" spans="1:14" x14ac:dyDescent="0.25">
      <c r="A1723" t="s">
        <v>3415</v>
      </c>
      <c r="B1723" t="s">
        <v>2105</v>
      </c>
      <c r="C1723" t="s">
        <v>3362</v>
      </c>
      <c r="D1723" s="2">
        <v>2.6829556975857E-2</v>
      </c>
      <c r="E1723" s="3">
        <v>620514.52564413496</v>
      </c>
      <c r="F1723" s="3">
        <f t="shared" si="28"/>
        <v>103419.08760735583</v>
      </c>
      <c r="G1723" s="3">
        <f t="shared" si="29"/>
        <v>51709.543803677916</v>
      </c>
      <c r="H1723" t="s">
        <v>124</v>
      </c>
      <c r="I1723" t="s">
        <v>1451</v>
      </c>
      <c r="J1723" t="s">
        <v>3243</v>
      </c>
      <c r="K1723">
        <v>7.01</v>
      </c>
      <c r="L1723">
        <v>2.464</v>
      </c>
      <c r="M1723" s="1">
        <v>10</v>
      </c>
      <c r="N1723" s="1" t="s">
        <v>3658</v>
      </c>
    </row>
    <row r="1724" spans="1:14" x14ac:dyDescent="0.25">
      <c r="A1724" t="s">
        <v>1964</v>
      </c>
      <c r="B1724" t="s">
        <v>2105</v>
      </c>
      <c r="C1724" t="s">
        <v>3362</v>
      </c>
      <c r="D1724" s="2">
        <v>2.7428858123924298E-2</v>
      </c>
      <c r="E1724" s="3">
        <v>863172.33485192002</v>
      </c>
      <c r="F1724" s="3">
        <f t="shared" si="28"/>
        <v>143862.05580865333</v>
      </c>
      <c r="G1724" s="3">
        <f t="shared" si="29"/>
        <v>71931.027904326664</v>
      </c>
      <c r="H1724" t="s">
        <v>27</v>
      </c>
      <c r="I1724" t="s">
        <v>2804</v>
      </c>
      <c r="J1724" t="s">
        <v>3575</v>
      </c>
      <c r="K1724">
        <v>9.56</v>
      </c>
      <c r="L1724">
        <v>2.4580000000000002</v>
      </c>
      <c r="M1724" s="1">
        <v>10</v>
      </c>
      <c r="N1724" s="1" t="s">
        <v>3658</v>
      </c>
    </row>
    <row r="1725" spans="1:14" x14ac:dyDescent="0.25">
      <c r="A1725" t="s">
        <v>3424</v>
      </c>
      <c r="B1725" t="s">
        <v>2105</v>
      </c>
      <c r="C1725" t="s">
        <v>3362</v>
      </c>
      <c r="D1725" s="2">
        <v>7.4975482831263096E-2</v>
      </c>
      <c r="E1725" s="3">
        <v>230954.569961523</v>
      </c>
      <c r="F1725" s="3">
        <f t="shared" si="28"/>
        <v>38492.428326920497</v>
      </c>
      <c r="G1725" s="3">
        <f t="shared" si="29"/>
        <v>19246.214163460249</v>
      </c>
      <c r="H1725" t="s">
        <v>88</v>
      </c>
      <c r="I1725" t="s">
        <v>145</v>
      </c>
      <c r="J1725" t="s">
        <v>3630</v>
      </c>
      <c r="K1725">
        <v>10.97</v>
      </c>
      <c r="L1725">
        <v>2.621</v>
      </c>
      <c r="M1725" s="1" t="s">
        <v>20</v>
      </c>
      <c r="N1725" s="1" t="s">
        <v>3658</v>
      </c>
    </row>
    <row r="1726" spans="1:14" x14ac:dyDescent="0.25">
      <c r="A1726" t="s">
        <v>1980</v>
      </c>
      <c r="B1726" t="s">
        <v>2105</v>
      </c>
      <c r="C1726" t="s">
        <v>3362</v>
      </c>
      <c r="D1726" s="2">
        <v>9.8039077823983703E-2</v>
      </c>
      <c r="E1726" s="3">
        <v>2626441.7103341701</v>
      </c>
      <c r="F1726" s="3">
        <f t="shared" si="28"/>
        <v>437740.28505569504</v>
      </c>
      <c r="G1726" s="3">
        <f t="shared" si="29"/>
        <v>218870.14252784752</v>
      </c>
      <c r="H1726" t="s">
        <v>124</v>
      </c>
      <c r="I1726" t="s">
        <v>88</v>
      </c>
      <c r="J1726" t="s">
        <v>384</v>
      </c>
      <c r="K1726">
        <v>9.77</v>
      </c>
      <c r="L1726">
        <v>2.5409999999999999</v>
      </c>
      <c r="M1726" s="1">
        <v>10</v>
      </c>
      <c r="N1726" s="1" t="s">
        <v>3658</v>
      </c>
    </row>
    <row r="1727" spans="1:14" x14ac:dyDescent="0.25">
      <c r="A1727" t="s">
        <v>3422</v>
      </c>
      <c r="B1727" t="s">
        <v>2105</v>
      </c>
      <c r="C1727" t="s">
        <v>3362</v>
      </c>
      <c r="D1727" s="2">
        <v>2.6971342683759902E-2</v>
      </c>
      <c r="E1727" s="3">
        <v>5632568.0809248798</v>
      </c>
      <c r="F1727" s="3">
        <f t="shared" si="28"/>
        <v>938761.34682081325</v>
      </c>
      <c r="G1727" s="3">
        <f t="shared" si="29"/>
        <v>469380.67341040663</v>
      </c>
      <c r="H1727" t="s">
        <v>324</v>
      </c>
      <c r="I1727" t="s">
        <v>3625</v>
      </c>
      <c r="J1727" t="s">
        <v>3626</v>
      </c>
      <c r="K1727">
        <v>12.11</v>
      </c>
      <c r="L1727">
        <v>2.4750000000000001</v>
      </c>
      <c r="M1727" s="1">
        <v>100</v>
      </c>
      <c r="N1727" s="1" t="s">
        <v>3658</v>
      </c>
    </row>
    <row r="1728" spans="1:14" x14ac:dyDescent="0.25">
      <c r="A1728" t="s">
        <v>3412</v>
      </c>
      <c r="B1728" t="s">
        <v>2105</v>
      </c>
      <c r="C1728" t="s">
        <v>3362</v>
      </c>
      <c r="D1728" s="2">
        <v>2.72009744688195E-2</v>
      </c>
      <c r="E1728" s="3">
        <v>4879694.0608721701</v>
      </c>
      <c r="F1728" s="3">
        <f t="shared" si="28"/>
        <v>813282.34347869502</v>
      </c>
      <c r="G1728" s="3">
        <f t="shared" si="29"/>
        <v>406641.17173934751</v>
      </c>
      <c r="H1728" t="s">
        <v>893</v>
      </c>
      <c r="I1728" t="s">
        <v>3579</v>
      </c>
      <c r="J1728" t="s">
        <v>1195</v>
      </c>
      <c r="K1728">
        <v>10.84</v>
      </c>
      <c r="L1728">
        <v>2.6320000000000001</v>
      </c>
      <c r="M1728" s="1">
        <v>100</v>
      </c>
      <c r="N1728" s="1" t="s">
        <v>3658</v>
      </c>
    </row>
    <row r="1729" spans="1:14" x14ac:dyDescent="0.25">
      <c r="A1729" t="s">
        <v>2014</v>
      </c>
      <c r="B1729" t="s">
        <v>2105</v>
      </c>
      <c r="C1729" t="s">
        <v>3362</v>
      </c>
      <c r="D1729" s="2">
        <v>2.8425359571299501E-2</v>
      </c>
      <c r="E1729" s="3">
        <v>3945793.4670365099</v>
      </c>
      <c r="F1729" s="3">
        <f t="shared" si="28"/>
        <v>657632.24450608494</v>
      </c>
      <c r="G1729" s="3">
        <f t="shared" si="29"/>
        <v>328816.12225304247</v>
      </c>
      <c r="H1729" t="s">
        <v>198</v>
      </c>
      <c r="I1729" t="s">
        <v>3591</v>
      </c>
      <c r="J1729" t="s">
        <v>3592</v>
      </c>
      <c r="K1729">
        <v>10.84</v>
      </c>
      <c r="L1729">
        <v>2.5150000000000001</v>
      </c>
      <c r="M1729" s="1">
        <v>100</v>
      </c>
      <c r="N1729" s="1" t="s">
        <v>3658</v>
      </c>
    </row>
    <row r="1730" spans="1:14" x14ac:dyDescent="0.25">
      <c r="A1730" t="s">
        <v>1609</v>
      </c>
      <c r="B1730" t="s">
        <v>2104</v>
      </c>
      <c r="C1730" t="s">
        <v>2103</v>
      </c>
      <c r="D1730" s="2" t="s">
        <v>20</v>
      </c>
      <c r="E1730" s="3">
        <v>0</v>
      </c>
      <c r="H1730" s="3" t="s">
        <v>98</v>
      </c>
      <c r="I1730" s="3" t="s">
        <v>201</v>
      </c>
      <c r="J1730" t="s">
        <v>98</v>
      </c>
      <c r="K1730">
        <v>10.46</v>
      </c>
      <c r="L1730">
        <v>2.609</v>
      </c>
      <c r="M1730" t="s">
        <v>20</v>
      </c>
      <c r="N1730" s="1" t="s">
        <v>3735</v>
      </c>
    </row>
    <row r="1731" spans="1:14" x14ac:dyDescent="0.25">
      <c r="A1731" t="s">
        <v>2102</v>
      </c>
      <c r="B1731" t="s">
        <v>2104</v>
      </c>
      <c r="C1731" t="s">
        <v>2103</v>
      </c>
      <c r="D1731" s="2" t="s">
        <v>20</v>
      </c>
      <c r="E1731" s="3">
        <v>0</v>
      </c>
      <c r="H1731" s="3" t="s">
        <v>893</v>
      </c>
      <c r="I1731" s="3" t="s">
        <v>201</v>
      </c>
      <c r="J1731" t="s">
        <v>893</v>
      </c>
      <c r="K1731">
        <v>10.46</v>
      </c>
      <c r="L1731">
        <v>2.6320000000000001</v>
      </c>
      <c r="M1731" t="s">
        <v>20</v>
      </c>
      <c r="N1731" s="1" t="s">
        <v>3735</v>
      </c>
    </row>
    <row r="1732" spans="1:14" x14ac:dyDescent="0.25">
      <c r="A1732" t="s">
        <v>3674</v>
      </c>
      <c r="B1732" t="s">
        <v>2104</v>
      </c>
      <c r="C1732" t="s">
        <v>2103</v>
      </c>
      <c r="D1732" s="2">
        <v>1.55109311821986E-2</v>
      </c>
      <c r="E1732" s="3">
        <v>5708536.9126054896</v>
      </c>
      <c r="H1732" s="3" t="s">
        <v>3704</v>
      </c>
      <c r="I1732" s="3" t="s">
        <v>3705</v>
      </c>
      <c r="J1732" t="s">
        <v>3706</v>
      </c>
      <c r="K1732">
        <v>12.11</v>
      </c>
      <c r="L1732">
        <v>7.6689999999999996</v>
      </c>
      <c r="M1732">
        <v>100</v>
      </c>
      <c r="N1732" s="1" t="s">
        <v>3735</v>
      </c>
    </row>
    <row r="1733" spans="1:14" x14ac:dyDescent="0.25">
      <c r="A1733" t="s">
        <v>3433</v>
      </c>
      <c r="B1733" t="s">
        <v>2104</v>
      </c>
      <c r="C1733" t="s">
        <v>2103</v>
      </c>
      <c r="D1733" s="2">
        <v>4.9426823082725703E-2</v>
      </c>
      <c r="E1733" s="3">
        <v>2661818.9592704601</v>
      </c>
      <c r="H1733" s="3" t="s">
        <v>3709</v>
      </c>
      <c r="I1733" s="3" t="s">
        <v>2500</v>
      </c>
      <c r="J1733" t="s">
        <v>3710</v>
      </c>
      <c r="K1733" t="s">
        <v>20</v>
      </c>
      <c r="L1733">
        <v>7.5299999999999896</v>
      </c>
      <c r="M1733">
        <v>1000</v>
      </c>
      <c r="N1733" s="1" t="s">
        <v>3735</v>
      </c>
    </row>
    <row r="1734" spans="1:14" x14ac:dyDescent="0.25">
      <c r="A1734" t="s">
        <v>3675</v>
      </c>
      <c r="B1734" t="s">
        <v>2104</v>
      </c>
      <c r="C1734" t="s">
        <v>2103</v>
      </c>
      <c r="D1734" s="2">
        <v>0.10344393375717401</v>
      </c>
      <c r="E1734" s="3">
        <v>5917875.3900340302</v>
      </c>
      <c r="H1734" s="3" t="s">
        <v>3714</v>
      </c>
      <c r="I1734" s="3" t="s">
        <v>391</v>
      </c>
      <c r="J1734" t="s">
        <v>3715</v>
      </c>
      <c r="K1734" t="s">
        <v>20</v>
      </c>
      <c r="L1734">
        <v>7.5339999999999998</v>
      </c>
      <c r="M1734">
        <v>10000</v>
      </c>
      <c r="N1734" s="1" t="s">
        <v>3735</v>
      </c>
    </row>
    <row r="1735" spans="1:14" x14ac:dyDescent="0.25">
      <c r="A1735" t="s">
        <v>3676</v>
      </c>
      <c r="B1735" t="s">
        <v>2104</v>
      </c>
      <c r="C1735" t="s">
        <v>2103</v>
      </c>
      <c r="D1735" s="2">
        <v>0.35201996913059902</v>
      </c>
      <c r="E1735" s="3">
        <v>5084615.15628972</v>
      </c>
      <c r="H1735" s="3" t="s">
        <v>3719</v>
      </c>
      <c r="I1735" s="3" t="s">
        <v>3720</v>
      </c>
      <c r="J1735" t="s">
        <v>3721</v>
      </c>
      <c r="K1735">
        <v>20.5</v>
      </c>
      <c r="L1735">
        <v>7.532</v>
      </c>
      <c r="M1735">
        <v>100000</v>
      </c>
      <c r="N1735" s="1" t="s">
        <v>3735</v>
      </c>
    </row>
    <row r="1736" spans="1:14" x14ac:dyDescent="0.25">
      <c r="A1736" t="s">
        <v>3431</v>
      </c>
      <c r="B1736" t="s">
        <v>2104</v>
      </c>
      <c r="C1736" t="s">
        <v>2103</v>
      </c>
      <c r="D1736" s="2">
        <v>5.6358779972565803E-2</v>
      </c>
      <c r="E1736" s="3">
        <v>6619238.0150961503</v>
      </c>
      <c r="H1736" s="3" t="s">
        <v>297</v>
      </c>
      <c r="I1736" s="3" t="s">
        <v>3725</v>
      </c>
      <c r="J1736" t="s">
        <v>3726</v>
      </c>
      <c r="K1736">
        <v>17.21</v>
      </c>
      <c r="L1736">
        <v>2.4420000000000002</v>
      </c>
      <c r="M1736">
        <v>1000</v>
      </c>
      <c r="N1736" s="1" t="s">
        <v>3735</v>
      </c>
    </row>
    <row r="1737" spans="1:14" x14ac:dyDescent="0.25">
      <c r="A1737" t="s">
        <v>3431</v>
      </c>
      <c r="B1737" t="s">
        <v>2104</v>
      </c>
      <c r="C1737" t="s">
        <v>2103</v>
      </c>
      <c r="D1737" s="2">
        <v>5.6220753501957002E-2</v>
      </c>
      <c r="E1737" s="3">
        <v>6548868.1450388003</v>
      </c>
      <c r="H1737" s="3" t="s">
        <v>169</v>
      </c>
      <c r="I1737" s="3" t="s">
        <v>3727</v>
      </c>
      <c r="J1737" t="s">
        <v>3728</v>
      </c>
      <c r="K1737">
        <v>9.56</v>
      </c>
      <c r="L1737">
        <v>2.488</v>
      </c>
      <c r="M1737">
        <v>1000</v>
      </c>
      <c r="N1737" s="1" t="s">
        <v>3735</v>
      </c>
    </row>
    <row r="1738" spans="1:14" x14ac:dyDescent="0.25">
      <c r="A1738" t="s">
        <v>3432</v>
      </c>
      <c r="B1738" t="s">
        <v>2104</v>
      </c>
      <c r="C1738" t="s">
        <v>2103</v>
      </c>
      <c r="D1738" s="2" t="s">
        <v>20</v>
      </c>
      <c r="E1738" s="3">
        <v>0</v>
      </c>
      <c r="H1738" s="3" t="s">
        <v>222</v>
      </c>
      <c r="I1738" s="3" t="s">
        <v>201</v>
      </c>
      <c r="J1738" t="s">
        <v>222</v>
      </c>
      <c r="K1738">
        <v>11.73</v>
      </c>
      <c r="L1738">
        <v>2.5169999999999999</v>
      </c>
      <c r="M1738">
        <v>1000</v>
      </c>
      <c r="N1738" s="1" t="s">
        <v>3735</v>
      </c>
    </row>
    <row r="1739" spans="1:14" x14ac:dyDescent="0.25">
      <c r="A1739" t="s">
        <v>3432</v>
      </c>
      <c r="B1739" t="s">
        <v>2104</v>
      </c>
      <c r="C1739" t="s">
        <v>2103</v>
      </c>
      <c r="D1739" s="2" t="s">
        <v>20</v>
      </c>
      <c r="E1739" s="3">
        <v>0</v>
      </c>
      <c r="H1739" s="3" t="s">
        <v>3732</v>
      </c>
      <c r="I1739" s="3" t="s">
        <v>201</v>
      </c>
      <c r="J1739" t="s">
        <v>3732</v>
      </c>
      <c r="K1739">
        <v>9.18</v>
      </c>
      <c r="L1739">
        <v>2.625</v>
      </c>
      <c r="M1739">
        <v>1000</v>
      </c>
      <c r="N1739" s="1" t="s">
        <v>3735</v>
      </c>
    </row>
    <row r="1740" spans="1:14" x14ac:dyDescent="0.25">
      <c r="A1740" t="s">
        <v>3673</v>
      </c>
      <c r="B1740" t="s">
        <v>2104</v>
      </c>
      <c r="C1740" t="s">
        <v>2103</v>
      </c>
      <c r="D1740" s="2" t="s">
        <v>20</v>
      </c>
      <c r="E1740" s="3">
        <v>0</v>
      </c>
      <c r="H1740" s="3" t="s">
        <v>114</v>
      </c>
      <c r="I1740" s="3" t="s">
        <v>201</v>
      </c>
      <c r="J1740" t="s">
        <v>114</v>
      </c>
      <c r="K1740">
        <v>10.46</v>
      </c>
      <c r="L1740">
        <v>2.5049999999999999</v>
      </c>
      <c r="M1740" t="s">
        <v>20</v>
      </c>
      <c r="N1740" s="1" t="s">
        <v>3735</v>
      </c>
    </row>
    <row r="1741" spans="1:14" x14ac:dyDescent="0.25">
      <c r="A1741" t="s">
        <v>3673</v>
      </c>
      <c r="B1741" t="s">
        <v>2104</v>
      </c>
      <c r="C1741" t="s">
        <v>2103</v>
      </c>
      <c r="D1741" s="2" t="s">
        <v>20</v>
      </c>
      <c r="E1741" s="3">
        <v>0</v>
      </c>
      <c r="H1741" s="3" t="s">
        <v>71</v>
      </c>
      <c r="I1741" s="3" t="s">
        <v>201</v>
      </c>
      <c r="J1741" t="s">
        <v>71</v>
      </c>
      <c r="K1741">
        <v>19.38</v>
      </c>
      <c r="L1741">
        <v>2.5219999999999998</v>
      </c>
      <c r="M1741" t="s">
        <v>20</v>
      </c>
      <c r="N1741" s="1" t="s">
        <v>3735</v>
      </c>
    </row>
    <row r="1742" spans="1:14" x14ac:dyDescent="0.25">
      <c r="A1742" t="s">
        <v>3426</v>
      </c>
      <c r="B1742" t="s">
        <v>2104</v>
      </c>
      <c r="C1742" t="s">
        <v>2103</v>
      </c>
      <c r="D1742" s="2">
        <v>4.7422477038357801E-2</v>
      </c>
      <c r="E1742" s="3">
        <v>1786681.9705033901</v>
      </c>
      <c r="H1742" s="3" t="s">
        <v>284</v>
      </c>
      <c r="I1742" s="3" t="s">
        <v>688</v>
      </c>
      <c r="J1742" t="s">
        <v>981</v>
      </c>
      <c r="K1742">
        <v>12.11</v>
      </c>
      <c r="L1742">
        <v>2.637</v>
      </c>
      <c r="M1742">
        <v>10</v>
      </c>
      <c r="N1742" s="1" t="s">
        <v>3735</v>
      </c>
    </row>
    <row r="1743" spans="1:14" x14ac:dyDescent="0.25">
      <c r="A1743" t="s">
        <v>3668</v>
      </c>
      <c r="B1743" t="s">
        <v>2104</v>
      </c>
      <c r="C1743" t="s">
        <v>2103</v>
      </c>
      <c r="D1743" s="2">
        <v>2.9761549837936101E-2</v>
      </c>
      <c r="E1743" s="3">
        <v>3311977.0104909898</v>
      </c>
      <c r="H1743" s="3" t="s">
        <v>62</v>
      </c>
      <c r="I1743" s="3" t="s">
        <v>517</v>
      </c>
      <c r="J1743" t="s">
        <v>3695</v>
      </c>
      <c r="K1743">
        <v>10.199999999999999</v>
      </c>
      <c r="L1743">
        <v>2.492</v>
      </c>
      <c r="M1743">
        <v>100</v>
      </c>
      <c r="N1743" s="1" t="s">
        <v>3735</v>
      </c>
    </row>
    <row r="1744" spans="1:14" x14ac:dyDescent="0.25">
      <c r="A1744" t="s">
        <v>3672</v>
      </c>
      <c r="B1744" t="s">
        <v>2104</v>
      </c>
      <c r="C1744" t="s">
        <v>2103</v>
      </c>
      <c r="D1744" s="2">
        <v>1.0642425433621701</v>
      </c>
      <c r="E1744" s="3">
        <v>14.310403912624199</v>
      </c>
      <c r="H1744" s="3" t="s">
        <v>308</v>
      </c>
      <c r="I1744" s="3" t="s">
        <v>43</v>
      </c>
      <c r="J1744" t="s">
        <v>98</v>
      </c>
      <c r="K1744">
        <v>12.5</v>
      </c>
      <c r="L1744">
        <v>2.5859999999999999</v>
      </c>
      <c r="M1744" t="s">
        <v>20</v>
      </c>
      <c r="N1744" s="1" t="s">
        <v>3735</v>
      </c>
    </row>
    <row r="1745" spans="1:14" x14ac:dyDescent="0.25">
      <c r="A1745" t="s">
        <v>1782</v>
      </c>
      <c r="B1745" t="s">
        <v>2104</v>
      </c>
      <c r="C1745" t="s">
        <v>2103</v>
      </c>
      <c r="D1745" s="2">
        <v>2.8603397780407502E-2</v>
      </c>
      <c r="E1745" s="3">
        <v>9418489.2796611805</v>
      </c>
      <c r="H1745" s="3" t="s">
        <v>67</v>
      </c>
      <c r="I1745" s="3" t="s">
        <v>3688</v>
      </c>
      <c r="J1745" t="s">
        <v>3689</v>
      </c>
      <c r="K1745">
        <v>10.84</v>
      </c>
      <c r="L1745">
        <v>2.6440000000000001</v>
      </c>
      <c r="M1745">
        <v>100</v>
      </c>
      <c r="N1745" s="1" t="s">
        <v>3735</v>
      </c>
    </row>
    <row r="1746" spans="1:14" x14ac:dyDescent="0.25">
      <c r="A1746" t="s">
        <v>3671</v>
      </c>
      <c r="B1746" t="s">
        <v>2104</v>
      </c>
      <c r="C1746" t="s">
        <v>2103</v>
      </c>
      <c r="D1746" s="2">
        <v>3.1015409534410301E-2</v>
      </c>
      <c r="E1746" s="3">
        <v>26838.714360348102</v>
      </c>
      <c r="H1746" s="3" t="s">
        <v>324</v>
      </c>
      <c r="I1746" s="3" t="s">
        <v>3699</v>
      </c>
      <c r="J1746" t="s">
        <v>3700</v>
      </c>
      <c r="K1746">
        <v>10.84</v>
      </c>
      <c r="L1746">
        <v>2.66</v>
      </c>
      <c r="M1746" t="s">
        <v>20</v>
      </c>
      <c r="N1746" s="1" t="s">
        <v>3735</v>
      </c>
    </row>
    <row r="1747" spans="1:14" x14ac:dyDescent="0.25">
      <c r="A1747" t="s">
        <v>3666</v>
      </c>
      <c r="B1747" t="s">
        <v>2104</v>
      </c>
      <c r="C1747" t="s">
        <v>2103</v>
      </c>
      <c r="D1747" s="2">
        <v>6.17167890682934E-2</v>
      </c>
      <c r="E1747" s="3">
        <v>4978660.7293927697</v>
      </c>
      <c r="H1747" s="3" t="s">
        <v>56</v>
      </c>
      <c r="I1747" s="3" t="s">
        <v>3677</v>
      </c>
      <c r="J1747" t="s">
        <v>3678</v>
      </c>
      <c r="K1747">
        <v>13.39</v>
      </c>
      <c r="L1747">
        <v>2.67</v>
      </c>
      <c r="M1747">
        <v>1000</v>
      </c>
      <c r="N1747" s="1" t="s">
        <v>3735</v>
      </c>
    </row>
    <row r="1748" spans="1:14" x14ac:dyDescent="0.25">
      <c r="A1748" t="s">
        <v>1901</v>
      </c>
      <c r="B1748" t="s">
        <v>2104</v>
      </c>
      <c r="C1748" t="s">
        <v>2103</v>
      </c>
      <c r="D1748" s="2">
        <v>3.2944676520603802E-2</v>
      </c>
      <c r="E1748" s="3">
        <v>2191548.5244646901</v>
      </c>
      <c r="H1748" s="3" t="s">
        <v>347</v>
      </c>
      <c r="I1748" s="3" t="s">
        <v>3684</v>
      </c>
      <c r="J1748" t="s">
        <v>3685</v>
      </c>
      <c r="K1748">
        <v>10.84</v>
      </c>
      <c r="L1748">
        <v>2.7080000000000002</v>
      </c>
      <c r="M1748">
        <v>100</v>
      </c>
      <c r="N1748" s="1" t="s">
        <v>3735</v>
      </c>
    </row>
    <row r="1749" spans="1:14" x14ac:dyDescent="0.25">
      <c r="A1749" t="s">
        <v>3667</v>
      </c>
      <c r="B1749" t="s">
        <v>2104</v>
      </c>
      <c r="C1749" t="s">
        <v>2103</v>
      </c>
      <c r="D1749" s="2">
        <v>2.7531499389997102E-2</v>
      </c>
      <c r="E1749" s="3">
        <v>43788140.830383398</v>
      </c>
      <c r="H1749" s="3" t="s">
        <v>56</v>
      </c>
      <c r="I1749" s="3" t="s">
        <v>3680</v>
      </c>
      <c r="J1749" t="s">
        <v>3681</v>
      </c>
      <c r="K1749">
        <v>14.03</v>
      </c>
      <c r="L1749">
        <v>2.6829999999999998</v>
      </c>
      <c r="M1749">
        <v>1000</v>
      </c>
      <c r="N1749" s="1" t="s">
        <v>3735</v>
      </c>
    </row>
    <row r="1750" spans="1:14" x14ac:dyDescent="0.25">
      <c r="A1750" t="s">
        <v>3670</v>
      </c>
      <c r="B1750" t="s">
        <v>2104</v>
      </c>
      <c r="C1750" t="s">
        <v>2103</v>
      </c>
      <c r="D1750" s="2">
        <v>3.2033510754518303E-2</v>
      </c>
      <c r="E1750" s="3">
        <v>2480166.6759245601</v>
      </c>
      <c r="H1750" s="3" t="s">
        <v>294</v>
      </c>
      <c r="I1750" s="3" t="s">
        <v>844</v>
      </c>
      <c r="J1750" t="s">
        <v>3698</v>
      </c>
      <c r="K1750">
        <v>12.75</v>
      </c>
      <c r="L1750">
        <v>2.593</v>
      </c>
      <c r="M1750">
        <v>100</v>
      </c>
      <c r="N1750" s="1" t="s">
        <v>3735</v>
      </c>
    </row>
    <row r="1751" spans="1:14" x14ac:dyDescent="0.25">
      <c r="A1751" t="s">
        <v>2001</v>
      </c>
      <c r="B1751" t="s">
        <v>2104</v>
      </c>
      <c r="C1751" t="s">
        <v>2103</v>
      </c>
      <c r="D1751" s="2">
        <v>3.2231980580487797E-2</v>
      </c>
      <c r="E1751" s="3">
        <v>241239.04621589399</v>
      </c>
      <c r="H1751" s="3" t="s">
        <v>114</v>
      </c>
      <c r="I1751" s="3" t="s">
        <v>3690</v>
      </c>
      <c r="J1751" t="s">
        <v>3691</v>
      </c>
      <c r="K1751">
        <v>10.84</v>
      </c>
      <c r="L1751">
        <v>2.6179999999999999</v>
      </c>
      <c r="M1751">
        <v>10</v>
      </c>
      <c r="N1751" s="1" t="s">
        <v>3735</v>
      </c>
    </row>
    <row r="1752" spans="1:14" x14ac:dyDescent="0.25">
      <c r="A1752" t="s">
        <v>1609</v>
      </c>
      <c r="B1752" t="s">
        <v>2105</v>
      </c>
      <c r="C1752" t="s">
        <v>3362</v>
      </c>
      <c r="D1752" s="2" t="s">
        <v>20</v>
      </c>
      <c r="E1752" s="3">
        <v>0</v>
      </c>
      <c r="F1752" s="3">
        <f t="shared" ref="F1752:F1773" si="30">E1752/6</f>
        <v>0</v>
      </c>
      <c r="G1752" s="3">
        <f t="shared" ref="G1752:G1773" si="31">F1752/2</f>
        <v>0</v>
      </c>
      <c r="H1752" s="3" t="s">
        <v>98</v>
      </c>
      <c r="I1752" s="3" t="s">
        <v>201</v>
      </c>
      <c r="J1752" t="s">
        <v>98</v>
      </c>
      <c r="K1752">
        <v>20.66</v>
      </c>
      <c r="L1752">
        <v>2.609</v>
      </c>
      <c r="M1752" t="s">
        <v>20</v>
      </c>
      <c r="N1752" s="1" t="s">
        <v>3735</v>
      </c>
    </row>
    <row r="1753" spans="1:14" x14ac:dyDescent="0.25">
      <c r="A1753" t="s">
        <v>2102</v>
      </c>
      <c r="B1753" t="s">
        <v>2105</v>
      </c>
      <c r="C1753" t="s">
        <v>3362</v>
      </c>
      <c r="D1753" s="2" t="s">
        <v>20</v>
      </c>
      <c r="E1753" s="3">
        <v>0</v>
      </c>
      <c r="F1753" s="3">
        <f t="shared" si="30"/>
        <v>0</v>
      </c>
      <c r="G1753" s="3">
        <f t="shared" si="31"/>
        <v>0</v>
      </c>
      <c r="H1753" s="3" t="s">
        <v>893</v>
      </c>
      <c r="I1753" s="3" t="s">
        <v>201</v>
      </c>
      <c r="J1753" t="s">
        <v>893</v>
      </c>
      <c r="K1753">
        <v>7.91</v>
      </c>
      <c r="L1753">
        <v>2.6320000000000001</v>
      </c>
      <c r="M1753" t="s">
        <v>20</v>
      </c>
      <c r="N1753" s="1" t="s">
        <v>3735</v>
      </c>
    </row>
    <row r="1754" spans="1:14" x14ac:dyDescent="0.25">
      <c r="A1754" t="s">
        <v>3674</v>
      </c>
      <c r="B1754" t="s">
        <v>2105</v>
      </c>
      <c r="C1754" t="s">
        <v>3362</v>
      </c>
      <c r="D1754" s="2">
        <v>1.9200156450668599E-2</v>
      </c>
      <c r="E1754" s="3">
        <v>13099941.412766401</v>
      </c>
      <c r="F1754" s="3">
        <f t="shared" si="30"/>
        <v>2183323.5687944</v>
      </c>
      <c r="G1754" s="3">
        <f t="shared" si="31"/>
        <v>1091661.7843972</v>
      </c>
      <c r="H1754" s="3" t="s">
        <v>3704</v>
      </c>
      <c r="I1754" s="3" t="s">
        <v>3707</v>
      </c>
      <c r="J1754" t="s">
        <v>3708</v>
      </c>
      <c r="K1754" t="s">
        <v>20</v>
      </c>
      <c r="L1754">
        <v>7.6689999999999996</v>
      </c>
      <c r="M1754">
        <v>100</v>
      </c>
      <c r="N1754" s="1" t="s">
        <v>3735</v>
      </c>
    </row>
    <row r="1755" spans="1:14" x14ac:dyDescent="0.25">
      <c r="A1755" t="s">
        <v>3433</v>
      </c>
      <c r="B1755" t="s">
        <v>2105</v>
      </c>
      <c r="C1755" t="s">
        <v>3362</v>
      </c>
      <c r="D1755" s="2">
        <v>3.1944911400115197E-2</v>
      </c>
      <c r="E1755" s="3">
        <v>6716017.8798637902</v>
      </c>
      <c r="F1755" s="3">
        <f t="shared" si="30"/>
        <v>1119336.3133106318</v>
      </c>
      <c r="G1755" s="3">
        <f t="shared" si="31"/>
        <v>559668.15665531589</v>
      </c>
      <c r="H1755" s="3" t="s">
        <v>3711</v>
      </c>
      <c r="I1755" s="3" t="s">
        <v>3712</v>
      </c>
      <c r="J1755" t="s">
        <v>3713</v>
      </c>
      <c r="K1755" t="s">
        <v>20</v>
      </c>
      <c r="L1755">
        <v>7.5299999999999896</v>
      </c>
      <c r="M1755">
        <v>1000</v>
      </c>
      <c r="N1755" s="1" t="s">
        <v>3735</v>
      </c>
    </row>
    <row r="1756" spans="1:14" x14ac:dyDescent="0.25">
      <c r="A1756" t="s">
        <v>3675</v>
      </c>
      <c r="B1756" t="s">
        <v>2105</v>
      </c>
      <c r="C1756" t="s">
        <v>3362</v>
      </c>
      <c r="D1756" s="2">
        <v>6.9691454281487E-2</v>
      </c>
      <c r="E1756" s="3">
        <v>13156278.7196327</v>
      </c>
      <c r="F1756" s="3">
        <f t="shared" si="30"/>
        <v>2192713.1199387833</v>
      </c>
      <c r="G1756" s="3">
        <f t="shared" si="31"/>
        <v>1096356.5599693917</v>
      </c>
      <c r="H1756" s="3" t="s">
        <v>3716</v>
      </c>
      <c r="I1756" s="3" t="s">
        <v>3717</v>
      </c>
      <c r="J1756" t="s">
        <v>3718</v>
      </c>
      <c r="K1756" t="s">
        <v>20</v>
      </c>
      <c r="L1756">
        <v>7.5339999999999998</v>
      </c>
      <c r="M1756">
        <v>10000</v>
      </c>
      <c r="N1756" s="1" t="s">
        <v>3735</v>
      </c>
    </row>
    <row r="1757" spans="1:14" x14ac:dyDescent="0.25">
      <c r="A1757" t="s">
        <v>3676</v>
      </c>
      <c r="B1757" t="s">
        <v>2105</v>
      </c>
      <c r="C1757" t="s">
        <v>3362</v>
      </c>
      <c r="D1757" s="2">
        <v>0.20659849662502</v>
      </c>
      <c r="E1757" s="3">
        <v>14779978.3470826</v>
      </c>
      <c r="F1757" s="3">
        <f t="shared" si="30"/>
        <v>2463329.7245137668</v>
      </c>
      <c r="G1757" s="3">
        <f t="shared" si="31"/>
        <v>1231664.8622568834</v>
      </c>
      <c r="H1757" s="3" t="s">
        <v>3722</v>
      </c>
      <c r="I1757" s="3" t="s">
        <v>3723</v>
      </c>
      <c r="J1757" t="s">
        <v>3724</v>
      </c>
      <c r="K1757" t="s">
        <v>20</v>
      </c>
      <c r="L1757">
        <v>7.532</v>
      </c>
      <c r="M1757">
        <v>100000</v>
      </c>
      <c r="N1757" s="1" t="s">
        <v>3735</v>
      </c>
    </row>
    <row r="1758" spans="1:14" x14ac:dyDescent="0.25">
      <c r="A1758" t="s">
        <v>3431</v>
      </c>
      <c r="B1758" t="s">
        <v>2105</v>
      </c>
      <c r="C1758" t="s">
        <v>3362</v>
      </c>
      <c r="D1758" s="2" t="s">
        <v>20</v>
      </c>
      <c r="E1758" s="3">
        <v>0</v>
      </c>
      <c r="F1758" s="3">
        <f t="shared" si="30"/>
        <v>0</v>
      </c>
      <c r="G1758" s="3">
        <f t="shared" si="31"/>
        <v>0</v>
      </c>
      <c r="H1758" s="3" t="s">
        <v>297</v>
      </c>
      <c r="I1758" s="3" t="s">
        <v>201</v>
      </c>
      <c r="J1758" t="s">
        <v>297</v>
      </c>
      <c r="K1758">
        <v>7.91</v>
      </c>
      <c r="L1758">
        <v>2.4420000000000002</v>
      </c>
      <c r="M1758">
        <v>1000</v>
      </c>
      <c r="N1758" s="1" t="s">
        <v>3735</v>
      </c>
    </row>
    <row r="1759" spans="1:14" x14ac:dyDescent="0.25">
      <c r="A1759" t="s">
        <v>3431</v>
      </c>
      <c r="B1759" t="s">
        <v>2105</v>
      </c>
      <c r="C1759" t="s">
        <v>3362</v>
      </c>
      <c r="D1759" s="2" t="s">
        <v>20</v>
      </c>
      <c r="E1759" s="3">
        <v>0</v>
      </c>
      <c r="F1759" s="3">
        <f t="shared" si="30"/>
        <v>0</v>
      </c>
      <c r="G1759" s="3">
        <f t="shared" si="31"/>
        <v>0</v>
      </c>
      <c r="H1759" s="3" t="s">
        <v>124</v>
      </c>
      <c r="I1759" s="3" t="s">
        <v>201</v>
      </c>
      <c r="J1759" t="s">
        <v>124</v>
      </c>
      <c r="K1759">
        <v>7.91</v>
      </c>
      <c r="L1759">
        <v>2.488</v>
      </c>
      <c r="M1759">
        <v>1000</v>
      </c>
      <c r="N1759" s="1" t="s">
        <v>3735</v>
      </c>
    </row>
    <row r="1760" spans="1:14" x14ac:dyDescent="0.25">
      <c r="A1760" t="s">
        <v>3432</v>
      </c>
      <c r="B1760" t="s">
        <v>2105</v>
      </c>
      <c r="C1760" t="s">
        <v>3362</v>
      </c>
      <c r="D1760" s="2">
        <v>3.7781358579140098E-2</v>
      </c>
      <c r="E1760" s="3">
        <v>16522751.712143799</v>
      </c>
      <c r="F1760" s="3">
        <f t="shared" si="30"/>
        <v>2753791.9520239667</v>
      </c>
      <c r="G1760" s="3">
        <f t="shared" si="31"/>
        <v>1376895.9760119834</v>
      </c>
      <c r="H1760" s="3" t="s">
        <v>3729</v>
      </c>
      <c r="I1760" s="3" t="s">
        <v>3730</v>
      </c>
      <c r="J1760" t="s">
        <v>3731</v>
      </c>
      <c r="K1760">
        <v>9.56</v>
      </c>
      <c r="L1760">
        <v>2.5169999999999999</v>
      </c>
      <c r="M1760">
        <v>1000</v>
      </c>
      <c r="N1760" s="1" t="s">
        <v>3735</v>
      </c>
    </row>
    <row r="1761" spans="1:14" x14ac:dyDescent="0.25">
      <c r="A1761" t="s">
        <v>3432</v>
      </c>
      <c r="B1761" t="s">
        <v>2105</v>
      </c>
      <c r="C1761" t="s">
        <v>3362</v>
      </c>
      <c r="D1761" s="2">
        <v>3.87322169868273E-2</v>
      </c>
      <c r="E1761" s="3">
        <v>15472376.567838499</v>
      </c>
      <c r="F1761" s="3">
        <f t="shared" si="30"/>
        <v>2578729.4279730832</v>
      </c>
      <c r="G1761" s="3">
        <f t="shared" si="31"/>
        <v>1289364.7139865416</v>
      </c>
      <c r="H1761" s="3" t="s">
        <v>3733</v>
      </c>
      <c r="I1761" s="3" t="s">
        <v>3702</v>
      </c>
      <c r="J1761" t="s">
        <v>3734</v>
      </c>
      <c r="K1761">
        <v>8.93</v>
      </c>
      <c r="L1761">
        <v>2.625</v>
      </c>
      <c r="M1761">
        <v>1000</v>
      </c>
      <c r="N1761" s="1" t="s">
        <v>3735</v>
      </c>
    </row>
    <row r="1762" spans="1:14" x14ac:dyDescent="0.25">
      <c r="A1762" t="s">
        <v>3673</v>
      </c>
      <c r="B1762" t="s">
        <v>2105</v>
      </c>
      <c r="C1762" t="s">
        <v>3362</v>
      </c>
      <c r="D1762" s="2" t="s">
        <v>20</v>
      </c>
      <c r="E1762" s="3">
        <v>0</v>
      </c>
      <c r="F1762" s="3">
        <f t="shared" si="30"/>
        <v>0</v>
      </c>
      <c r="G1762" s="3">
        <f t="shared" si="31"/>
        <v>0</v>
      </c>
      <c r="H1762" s="3" t="s">
        <v>114</v>
      </c>
      <c r="I1762" s="3" t="s">
        <v>201</v>
      </c>
      <c r="J1762" t="s">
        <v>114</v>
      </c>
      <c r="K1762">
        <v>7.91</v>
      </c>
      <c r="L1762">
        <v>2.5049999999999999</v>
      </c>
      <c r="M1762" t="s">
        <v>20</v>
      </c>
      <c r="N1762" s="1" t="s">
        <v>3735</v>
      </c>
    </row>
    <row r="1763" spans="1:14" x14ac:dyDescent="0.25">
      <c r="A1763" t="s">
        <v>3673</v>
      </c>
      <c r="B1763" t="s">
        <v>2105</v>
      </c>
      <c r="C1763" t="s">
        <v>3362</v>
      </c>
      <c r="D1763" s="2" t="s">
        <v>20</v>
      </c>
      <c r="E1763" s="3">
        <v>0</v>
      </c>
      <c r="F1763" s="3">
        <f t="shared" si="30"/>
        <v>0</v>
      </c>
      <c r="G1763" s="3">
        <f t="shared" si="31"/>
        <v>0</v>
      </c>
      <c r="H1763" s="3" t="s">
        <v>71</v>
      </c>
      <c r="I1763" s="3" t="s">
        <v>201</v>
      </c>
      <c r="J1763" t="s">
        <v>71</v>
      </c>
      <c r="K1763">
        <v>7.91</v>
      </c>
      <c r="L1763">
        <v>2.5219999999999998</v>
      </c>
      <c r="M1763" t="s">
        <v>20</v>
      </c>
      <c r="N1763" s="1" t="s">
        <v>3735</v>
      </c>
    </row>
    <row r="1764" spans="1:14" x14ac:dyDescent="0.25">
      <c r="A1764" t="s">
        <v>3426</v>
      </c>
      <c r="B1764" t="s">
        <v>2105</v>
      </c>
      <c r="C1764" t="s">
        <v>3362</v>
      </c>
      <c r="D1764" s="2">
        <v>9.4283205946028598E-2</v>
      </c>
      <c r="E1764" s="3">
        <v>2499922.5512643098</v>
      </c>
      <c r="F1764" s="3">
        <f t="shared" si="30"/>
        <v>416653.75854405161</v>
      </c>
      <c r="G1764" s="3">
        <f t="shared" si="31"/>
        <v>208326.87927202581</v>
      </c>
      <c r="H1764" s="3" t="s">
        <v>284</v>
      </c>
      <c r="I1764" s="3" t="s">
        <v>552</v>
      </c>
      <c r="J1764" t="s">
        <v>3694</v>
      </c>
      <c r="K1764">
        <v>9.65</v>
      </c>
      <c r="L1764">
        <v>2.637</v>
      </c>
      <c r="M1764">
        <v>10</v>
      </c>
      <c r="N1764" s="1" t="s">
        <v>3735</v>
      </c>
    </row>
    <row r="1765" spans="1:14" x14ac:dyDescent="0.25">
      <c r="A1765" t="s">
        <v>3668</v>
      </c>
      <c r="B1765" t="s">
        <v>2105</v>
      </c>
      <c r="C1765" t="s">
        <v>3362</v>
      </c>
      <c r="D1765" s="2">
        <v>3.0368027964929101E-2</v>
      </c>
      <c r="E1765" s="3">
        <v>3081520.2145123598</v>
      </c>
      <c r="F1765" s="3">
        <f t="shared" si="30"/>
        <v>513586.70241872664</v>
      </c>
      <c r="G1765" s="3">
        <f t="shared" si="31"/>
        <v>256793.35120936332</v>
      </c>
      <c r="H1765" s="3" t="s">
        <v>62</v>
      </c>
      <c r="I1765" s="3" t="s">
        <v>3696</v>
      </c>
      <c r="J1765" t="s">
        <v>3697</v>
      </c>
      <c r="K1765">
        <v>9.56</v>
      </c>
      <c r="L1765">
        <v>2.492</v>
      </c>
      <c r="M1765">
        <v>100</v>
      </c>
      <c r="N1765" s="1" t="s">
        <v>3735</v>
      </c>
    </row>
    <row r="1766" spans="1:14" x14ac:dyDescent="0.25">
      <c r="A1766" t="s">
        <v>3672</v>
      </c>
      <c r="B1766" t="s">
        <v>2105</v>
      </c>
      <c r="C1766" t="s">
        <v>3362</v>
      </c>
      <c r="D1766" s="2">
        <v>0.16165771810475199</v>
      </c>
      <c r="E1766" s="3">
        <v>707.38078607253601</v>
      </c>
      <c r="F1766" s="3">
        <f t="shared" si="30"/>
        <v>117.896797678756</v>
      </c>
      <c r="G1766" s="3">
        <f t="shared" si="31"/>
        <v>58.948398839378001</v>
      </c>
      <c r="H1766" s="3" t="s">
        <v>308</v>
      </c>
      <c r="I1766" s="3" t="s">
        <v>3703</v>
      </c>
      <c r="J1766" t="s">
        <v>564</v>
      </c>
      <c r="K1766">
        <v>7.01</v>
      </c>
      <c r="L1766">
        <v>2.5859999999999999</v>
      </c>
      <c r="M1766" t="s">
        <v>20</v>
      </c>
      <c r="N1766" s="1" t="s">
        <v>3735</v>
      </c>
    </row>
    <row r="1767" spans="1:14" x14ac:dyDescent="0.25">
      <c r="A1767" t="s">
        <v>1782</v>
      </c>
      <c r="B1767" t="s">
        <v>2105</v>
      </c>
      <c r="C1767" t="s">
        <v>3362</v>
      </c>
      <c r="D1767" s="2">
        <v>4.0780062590785399E-2</v>
      </c>
      <c r="E1767" s="3">
        <v>15815108.1691694</v>
      </c>
      <c r="F1767" s="3">
        <f t="shared" si="30"/>
        <v>2635851.3615282332</v>
      </c>
      <c r="G1767" s="3">
        <f t="shared" si="31"/>
        <v>1317925.6807641166</v>
      </c>
      <c r="H1767" s="3" t="s">
        <v>67</v>
      </c>
      <c r="I1767" s="3" t="s">
        <v>301</v>
      </c>
      <c r="J1767" t="s">
        <v>2053</v>
      </c>
      <c r="K1767">
        <v>10.199999999999999</v>
      </c>
      <c r="L1767">
        <v>2.6440000000000001</v>
      </c>
      <c r="M1767">
        <v>100</v>
      </c>
      <c r="N1767" s="1" t="s">
        <v>3735</v>
      </c>
    </row>
    <row r="1768" spans="1:14" x14ac:dyDescent="0.25">
      <c r="A1768" t="s">
        <v>3671</v>
      </c>
      <c r="B1768" t="s">
        <v>2105</v>
      </c>
      <c r="C1768" t="s">
        <v>3362</v>
      </c>
      <c r="D1768" s="2">
        <v>2.7505655515461899E-2</v>
      </c>
      <c r="E1768" s="3">
        <v>44501.627250325801</v>
      </c>
      <c r="F1768" s="3">
        <f t="shared" si="30"/>
        <v>7416.9378750543001</v>
      </c>
      <c r="G1768" s="3">
        <f t="shared" si="31"/>
        <v>3708.46893752715</v>
      </c>
      <c r="H1768" s="3" t="s">
        <v>324</v>
      </c>
      <c r="I1768" s="3" t="s">
        <v>3701</v>
      </c>
      <c r="J1768" t="s">
        <v>3702</v>
      </c>
      <c r="K1768">
        <v>9.56</v>
      </c>
      <c r="L1768">
        <v>2.66</v>
      </c>
      <c r="M1768" t="s">
        <v>20</v>
      </c>
      <c r="N1768" s="1" t="s">
        <v>3735</v>
      </c>
    </row>
    <row r="1769" spans="1:14" x14ac:dyDescent="0.25">
      <c r="A1769" t="s">
        <v>3666</v>
      </c>
      <c r="B1769" t="s">
        <v>2105</v>
      </c>
      <c r="C1769" t="s">
        <v>3362</v>
      </c>
      <c r="D1769" s="2">
        <v>3.4208938907382198E-2</v>
      </c>
      <c r="E1769" s="3">
        <v>19896587.5396933</v>
      </c>
      <c r="F1769" s="3">
        <f t="shared" si="30"/>
        <v>3316097.9232822168</v>
      </c>
      <c r="G1769" s="3">
        <f t="shared" si="31"/>
        <v>1658048.9616411084</v>
      </c>
      <c r="H1769" s="3" t="s">
        <v>297</v>
      </c>
      <c r="I1769" s="3" t="s">
        <v>1155</v>
      </c>
      <c r="J1769" t="s">
        <v>3679</v>
      </c>
      <c r="K1769">
        <v>9.56</v>
      </c>
      <c r="L1769">
        <v>2.67</v>
      </c>
      <c r="M1769">
        <v>1000</v>
      </c>
      <c r="N1769" s="1" t="s">
        <v>3735</v>
      </c>
    </row>
    <row r="1770" spans="1:14" x14ac:dyDescent="0.25">
      <c r="A1770" t="s">
        <v>1901</v>
      </c>
      <c r="B1770" t="s">
        <v>2105</v>
      </c>
      <c r="C1770" t="s">
        <v>3362</v>
      </c>
      <c r="D1770" s="2">
        <v>3.0016949938110701E-2</v>
      </c>
      <c r="E1770" s="3">
        <v>10328544.584257999</v>
      </c>
      <c r="F1770" s="3">
        <f t="shared" si="30"/>
        <v>1721424.0973763333</v>
      </c>
      <c r="G1770" s="3">
        <f t="shared" si="31"/>
        <v>860712.04868816666</v>
      </c>
      <c r="H1770" s="3" t="s">
        <v>347</v>
      </c>
      <c r="I1770" s="3" t="s">
        <v>3686</v>
      </c>
      <c r="J1770" t="s">
        <v>3687</v>
      </c>
      <c r="K1770">
        <v>8.2899999999999991</v>
      </c>
      <c r="L1770">
        <v>2.7080000000000002</v>
      </c>
      <c r="M1770">
        <v>100</v>
      </c>
      <c r="N1770" s="1" t="s">
        <v>3735</v>
      </c>
    </row>
    <row r="1771" spans="1:14" x14ac:dyDescent="0.25">
      <c r="A1771" t="s">
        <v>3667</v>
      </c>
      <c r="B1771" t="s">
        <v>2105</v>
      </c>
      <c r="C1771" t="s">
        <v>3362</v>
      </c>
      <c r="D1771" s="2">
        <v>3.1250746960935202E-2</v>
      </c>
      <c r="E1771" s="3">
        <v>112823385.873328</v>
      </c>
      <c r="F1771" s="3">
        <f t="shared" si="30"/>
        <v>18803897.645554665</v>
      </c>
      <c r="G1771" s="3">
        <f t="shared" si="31"/>
        <v>9401948.8227773327</v>
      </c>
      <c r="H1771" s="3" t="s">
        <v>56</v>
      </c>
      <c r="I1771" s="3" t="s">
        <v>3682</v>
      </c>
      <c r="J1771" t="s">
        <v>3683</v>
      </c>
      <c r="K1771">
        <v>9.56</v>
      </c>
      <c r="L1771">
        <v>2.6829999999999998</v>
      </c>
      <c r="M1771">
        <v>1000</v>
      </c>
      <c r="N1771" s="1" t="s">
        <v>3735</v>
      </c>
    </row>
    <row r="1772" spans="1:14" x14ac:dyDescent="0.25">
      <c r="A1772" t="s">
        <v>3670</v>
      </c>
      <c r="B1772" t="s">
        <v>2105</v>
      </c>
      <c r="C1772" t="s">
        <v>3362</v>
      </c>
      <c r="D1772" s="2">
        <v>5.0526101347587803E-2</v>
      </c>
      <c r="E1772" s="3">
        <v>797103.01510770095</v>
      </c>
      <c r="F1772" s="3">
        <f t="shared" si="30"/>
        <v>132850.50251795017</v>
      </c>
      <c r="G1772" s="3">
        <f t="shared" si="31"/>
        <v>66425.251258975084</v>
      </c>
      <c r="H1772" s="3" t="s">
        <v>11</v>
      </c>
      <c r="I1772" s="3" t="s">
        <v>2437</v>
      </c>
      <c r="J1772" t="s">
        <v>3576</v>
      </c>
      <c r="K1772">
        <v>12.75</v>
      </c>
      <c r="L1772">
        <v>2.593</v>
      </c>
      <c r="M1772">
        <v>100</v>
      </c>
      <c r="N1772" s="1" t="s">
        <v>3735</v>
      </c>
    </row>
    <row r="1773" spans="1:14" x14ac:dyDescent="0.25">
      <c r="A1773" t="s">
        <v>2001</v>
      </c>
      <c r="B1773" t="s">
        <v>2105</v>
      </c>
      <c r="C1773" t="s">
        <v>3362</v>
      </c>
      <c r="D1773" s="2">
        <v>2.68800774922426E-2</v>
      </c>
      <c r="E1773" s="3">
        <v>690149.70898759598</v>
      </c>
      <c r="F1773" s="3">
        <f t="shared" si="30"/>
        <v>115024.95149793266</v>
      </c>
      <c r="G1773" s="3">
        <f t="shared" si="31"/>
        <v>57512.475748966332</v>
      </c>
      <c r="H1773" s="3" t="s">
        <v>114</v>
      </c>
      <c r="I1773" s="3" t="s">
        <v>3692</v>
      </c>
      <c r="J1773" t="s">
        <v>3693</v>
      </c>
      <c r="K1773">
        <v>9.56</v>
      </c>
      <c r="L1773">
        <v>2.6179999999999999</v>
      </c>
      <c r="M1773">
        <v>10</v>
      </c>
      <c r="N1773" s="1" t="s">
        <v>3735</v>
      </c>
    </row>
    <row r="1774" spans="1:14" x14ac:dyDescent="0.25">
      <c r="A1774" t="s">
        <v>1957</v>
      </c>
      <c r="B1774" t="s">
        <v>1609</v>
      </c>
      <c r="C1774" t="s">
        <v>9</v>
      </c>
      <c r="D1774" s="2">
        <v>4.7245528758730601E-2</v>
      </c>
      <c r="G1774" s="3">
        <v>90302.631781656106</v>
      </c>
      <c r="H1774" s="3" t="s">
        <v>207</v>
      </c>
      <c r="I1774" s="3" t="s">
        <v>2473</v>
      </c>
      <c r="J1774" t="s">
        <v>3749</v>
      </c>
      <c r="K1774">
        <v>14.66</v>
      </c>
      <c r="L1774">
        <v>2.6019999999999999</v>
      </c>
      <c r="M1774" t="s">
        <v>20</v>
      </c>
      <c r="N1774" s="1" t="s">
        <v>3739</v>
      </c>
    </row>
    <row r="1775" spans="1:14" x14ac:dyDescent="0.25">
      <c r="A1775" t="s">
        <v>1957</v>
      </c>
      <c r="B1775" t="s">
        <v>1609</v>
      </c>
      <c r="C1775" t="s">
        <v>448</v>
      </c>
      <c r="D1775" s="2">
        <v>3.3710369331548203E-2</v>
      </c>
      <c r="G1775" s="3">
        <v>10651.6248114135</v>
      </c>
      <c r="H1775" s="3" t="s">
        <v>207</v>
      </c>
      <c r="I1775" s="3" t="s">
        <v>3750</v>
      </c>
      <c r="J1775" t="s">
        <v>3751</v>
      </c>
      <c r="K1775">
        <v>5.74</v>
      </c>
      <c r="L1775">
        <v>2.6019999999999999</v>
      </c>
      <c r="M1775" t="s">
        <v>20</v>
      </c>
      <c r="N1775" s="1" t="s">
        <v>3739</v>
      </c>
    </row>
    <row r="1804" spans="4:12" x14ac:dyDescent="0.25">
      <c r="D1804" s="5"/>
      <c r="L1804" s="6"/>
    </row>
    <row r="1805" spans="4:12" x14ac:dyDescent="0.25">
      <c r="D1805" s="5"/>
      <c r="L1805" s="6"/>
    </row>
    <row r="1806" spans="4:12" x14ac:dyDescent="0.25">
      <c r="D1806" s="5"/>
    </row>
    <row r="1807" spans="4:12" x14ac:dyDescent="0.25">
      <c r="D1807" s="5"/>
      <c r="L1807" s="6"/>
    </row>
    <row r="1808" spans="4:12" x14ac:dyDescent="0.25">
      <c r="D1808" s="5"/>
      <c r="L1808" s="6"/>
    </row>
    <row r="1809" spans="4:12" x14ac:dyDescent="0.25">
      <c r="D1809" s="5"/>
      <c r="L1809" s="6"/>
    </row>
    <row r="1810" spans="4:12" x14ac:dyDescent="0.25">
      <c r="D1810" s="5"/>
      <c r="L1810" s="6"/>
    </row>
    <row r="1811" spans="4:12" x14ac:dyDescent="0.25">
      <c r="D1811" s="5"/>
      <c r="L1811" s="6"/>
    </row>
    <row r="1812" spans="4:12" x14ac:dyDescent="0.25">
      <c r="D1812" s="5"/>
      <c r="L1812" s="6"/>
    </row>
    <row r="1813" spans="4:12" x14ac:dyDescent="0.25">
      <c r="D1813" s="5"/>
    </row>
    <row r="1814" spans="4:12" x14ac:dyDescent="0.25">
      <c r="D1814" s="5"/>
      <c r="L1814" s="6"/>
    </row>
    <row r="1815" spans="4:12" x14ac:dyDescent="0.25">
      <c r="D1815" s="5"/>
      <c r="L1815" s="6"/>
    </row>
    <row r="1816" spans="4:12" x14ac:dyDescent="0.25">
      <c r="D1816" s="5"/>
      <c r="L1816" s="6"/>
    </row>
    <row r="1817" spans="4:12" x14ac:dyDescent="0.25">
      <c r="D1817" s="5"/>
      <c r="L1817" s="6"/>
    </row>
    <row r="1818" spans="4:12" x14ac:dyDescent="0.25">
      <c r="D1818" s="5"/>
      <c r="L1818" s="6"/>
    </row>
    <row r="1819" spans="4:12" x14ac:dyDescent="0.25">
      <c r="D1819" s="5"/>
      <c r="L1819" s="6"/>
    </row>
    <row r="1820" spans="4:12" x14ac:dyDescent="0.25">
      <c r="D1820" s="5"/>
      <c r="L1820" s="6"/>
    </row>
    <row r="1821" spans="4:12" x14ac:dyDescent="0.25">
      <c r="D1821" s="5"/>
      <c r="L1821" s="6"/>
    </row>
    <row r="1822" spans="4:12" x14ac:dyDescent="0.25">
      <c r="D1822" s="5"/>
      <c r="L1822" s="6"/>
    </row>
    <row r="1823" spans="4:12" x14ac:dyDescent="0.25">
      <c r="D1823" s="5"/>
      <c r="L1823" s="6"/>
    </row>
    <row r="1824" spans="4:12" x14ac:dyDescent="0.25">
      <c r="D1824" s="5"/>
      <c r="L1824" s="6"/>
    </row>
    <row r="1825" spans="4:12" x14ac:dyDescent="0.25">
      <c r="D1825" s="5"/>
      <c r="L1825" s="6"/>
    </row>
    <row r="1826" spans="4:12" x14ac:dyDescent="0.25">
      <c r="D1826" s="5"/>
      <c r="L1826" s="6"/>
    </row>
    <row r="1827" spans="4:12" x14ac:dyDescent="0.25">
      <c r="D1827" s="5"/>
      <c r="L1827" s="6"/>
    </row>
    <row r="1828" spans="4:12" x14ac:dyDescent="0.25">
      <c r="D1828" s="5"/>
      <c r="L1828" s="6"/>
    </row>
    <row r="1829" spans="4:12" x14ac:dyDescent="0.25">
      <c r="D1829" s="5"/>
      <c r="L1829" s="6"/>
    </row>
    <row r="1830" spans="4:12" x14ac:dyDescent="0.25">
      <c r="D1830" s="5"/>
      <c r="L1830" s="6"/>
    </row>
    <row r="1831" spans="4:12" x14ac:dyDescent="0.25">
      <c r="D1831" s="5"/>
      <c r="L1831" s="6"/>
    </row>
    <row r="1832" spans="4:12" x14ac:dyDescent="0.25">
      <c r="D1832" s="5"/>
    </row>
    <row r="1833" spans="4:12" x14ac:dyDescent="0.25">
      <c r="D1833" s="5"/>
      <c r="L1833" s="6"/>
    </row>
    <row r="1834" spans="4:12" x14ac:dyDescent="0.25">
      <c r="D1834" s="5"/>
      <c r="L1834" s="6"/>
    </row>
    <row r="1835" spans="4:12" x14ac:dyDescent="0.25">
      <c r="D1835" s="5"/>
    </row>
    <row r="1836" spans="4:12" x14ac:dyDescent="0.25">
      <c r="D1836" s="5"/>
      <c r="L1836" s="6"/>
    </row>
    <row r="1837" spans="4:12" x14ac:dyDescent="0.25">
      <c r="D1837" s="5"/>
      <c r="L1837" s="6"/>
    </row>
    <row r="1838" spans="4:12" x14ac:dyDescent="0.25">
      <c r="D1838" s="5"/>
      <c r="L1838" s="6"/>
    </row>
    <row r="1839" spans="4:12" x14ac:dyDescent="0.25">
      <c r="D1839" s="5"/>
      <c r="L1839" s="6"/>
    </row>
    <row r="1840" spans="4:12" x14ac:dyDescent="0.25">
      <c r="D1840" s="5"/>
      <c r="L1840" s="6"/>
    </row>
    <row r="1841" spans="4:12" x14ac:dyDescent="0.25">
      <c r="D1841" s="5"/>
      <c r="L1841" s="6"/>
    </row>
    <row r="1842" spans="4:12" x14ac:dyDescent="0.25">
      <c r="D1842" s="5"/>
      <c r="L1842" s="6"/>
    </row>
    <row r="1843" spans="4:12" x14ac:dyDescent="0.25">
      <c r="D1843" s="5"/>
    </row>
    <row r="1844" spans="4:12" x14ac:dyDescent="0.25">
      <c r="D1844" s="5"/>
      <c r="L1844" s="6"/>
    </row>
    <row r="1845" spans="4:12" x14ac:dyDescent="0.25">
      <c r="D1845" s="5"/>
      <c r="L1845" s="6"/>
    </row>
    <row r="1846" spans="4:12" x14ac:dyDescent="0.25">
      <c r="D1846" s="5"/>
      <c r="L1846" s="6"/>
    </row>
    <row r="1847" spans="4:12" x14ac:dyDescent="0.25">
      <c r="D1847" s="5"/>
      <c r="L1847" s="6"/>
    </row>
    <row r="1848" spans="4:12" x14ac:dyDescent="0.25">
      <c r="D1848" s="5"/>
      <c r="L1848" s="6"/>
    </row>
    <row r="1849" spans="4:12" x14ac:dyDescent="0.25">
      <c r="D1849" s="5"/>
      <c r="L1849" s="6"/>
    </row>
    <row r="1850" spans="4:12" x14ac:dyDescent="0.25">
      <c r="D1850" s="5"/>
      <c r="L1850" s="6"/>
    </row>
    <row r="1851" spans="4:12" x14ac:dyDescent="0.25">
      <c r="D1851" s="5"/>
    </row>
    <row r="1852" spans="4:12" x14ac:dyDescent="0.25">
      <c r="D1852" s="5"/>
      <c r="L1852" s="6"/>
    </row>
    <row r="1853" spans="4:12" x14ac:dyDescent="0.25">
      <c r="D1853" s="5"/>
    </row>
    <row r="1854" spans="4:12" x14ac:dyDescent="0.25">
      <c r="D1854" s="5"/>
    </row>
    <row r="1855" spans="4:12" x14ac:dyDescent="0.25">
      <c r="D1855" s="5"/>
      <c r="L1855" s="6"/>
    </row>
    <row r="1856" spans="4:12" x14ac:dyDescent="0.25">
      <c r="D1856" s="5"/>
      <c r="L1856" s="6"/>
    </row>
    <row r="1857" spans="4:12" x14ac:dyDescent="0.25">
      <c r="D1857" s="5"/>
      <c r="L1857" s="6"/>
    </row>
    <row r="1858" spans="4:12" x14ac:dyDescent="0.25">
      <c r="D1858" s="5"/>
      <c r="L1858" s="6"/>
    </row>
    <row r="1859" spans="4:12" x14ac:dyDescent="0.25">
      <c r="D1859" s="5"/>
    </row>
    <row r="1860" spans="4:12" x14ac:dyDescent="0.25">
      <c r="D1860" s="5"/>
    </row>
    <row r="1861" spans="4:12" x14ac:dyDescent="0.25">
      <c r="D1861" s="5"/>
      <c r="L1861" s="6"/>
    </row>
    <row r="1862" spans="4:12" x14ac:dyDescent="0.25">
      <c r="D1862" s="5"/>
      <c r="L1862" s="6"/>
    </row>
    <row r="1863" spans="4:12" x14ac:dyDescent="0.25">
      <c r="D1863" s="5"/>
      <c r="L1863" s="6"/>
    </row>
    <row r="1864" spans="4:12" x14ac:dyDescent="0.25">
      <c r="D1864" s="5"/>
      <c r="L1864" s="6"/>
    </row>
    <row r="1865" spans="4:12" x14ac:dyDescent="0.25">
      <c r="D1865" s="5"/>
      <c r="L1865" s="6"/>
    </row>
    <row r="1866" spans="4:12" x14ac:dyDescent="0.25">
      <c r="D1866" s="5"/>
    </row>
    <row r="1867" spans="4:12" x14ac:dyDescent="0.25">
      <c r="D1867" s="5"/>
      <c r="L1867" s="6"/>
    </row>
    <row r="1868" spans="4:12" x14ac:dyDescent="0.25">
      <c r="D1868" s="5"/>
      <c r="L1868" s="6"/>
    </row>
    <row r="1869" spans="4:12" x14ac:dyDescent="0.25">
      <c r="D1869" s="5"/>
      <c r="L1869" s="6"/>
    </row>
    <row r="1870" spans="4:12" x14ac:dyDescent="0.25">
      <c r="D1870" s="5"/>
      <c r="L1870" s="6"/>
    </row>
    <row r="1871" spans="4:12" x14ac:dyDescent="0.25">
      <c r="D1871" s="5"/>
      <c r="L1871" s="6"/>
    </row>
    <row r="1872" spans="4:12" x14ac:dyDescent="0.25">
      <c r="D1872" s="5"/>
      <c r="L1872" s="6"/>
    </row>
    <row r="1873" spans="4:12" x14ac:dyDescent="0.25">
      <c r="D1873" s="5"/>
      <c r="L1873" s="6"/>
    </row>
    <row r="1874" spans="4:12" x14ac:dyDescent="0.25">
      <c r="D1874" s="5"/>
      <c r="L1874" s="6"/>
    </row>
    <row r="1875" spans="4:12" x14ac:dyDescent="0.25">
      <c r="D1875" s="5"/>
      <c r="L1875" s="6"/>
    </row>
    <row r="1876" spans="4:12" x14ac:dyDescent="0.25">
      <c r="D1876" s="5"/>
      <c r="L1876" s="6"/>
    </row>
    <row r="1877" spans="4:12" x14ac:dyDescent="0.25">
      <c r="D1877" s="5"/>
      <c r="L1877" s="6"/>
    </row>
    <row r="1878" spans="4:12" x14ac:dyDescent="0.25">
      <c r="D1878" s="5"/>
      <c r="L1878" s="6"/>
    </row>
    <row r="1879" spans="4:12" x14ac:dyDescent="0.25">
      <c r="D1879" s="5"/>
      <c r="L1879" s="6"/>
    </row>
    <row r="1880" spans="4:12" x14ac:dyDescent="0.25">
      <c r="D1880" s="5"/>
      <c r="L1880" s="6"/>
    </row>
    <row r="1881" spans="4:12" x14ac:dyDescent="0.25">
      <c r="D1881" s="5"/>
      <c r="L1881" s="6"/>
    </row>
    <row r="1882" spans="4:12" x14ac:dyDescent="0.25">
      <c r="D1882" s="5"/>
      <c r="L1882" s="6"/>
    </row>
    <row r="1883" spans="4:12" x14ac:dyDescent="0.25">
      <c r="D1883" s="5"/>
      <c r="L1883" s="6"/>
    </row>
    <row r="1884" spans="4:12" x14ac:dyDescent="0.25">
      <c r="D1884" s="5"/>
    </row>
    <row r="1885" spans="4:12" x14ac:dyDescent="0.25">
      <c r="D1885" s="5"/>
      <c r="L1885" s="6"/>
    </row>
    <row r="1886" spans="4:12" x14ac:dyDescent="0.25">
      <c r="D1886" s="5"/>
      <c r="L1886" s="6"/>
    </row>
    <row r="1887" spans="4:12" x14ac:dyDescent="0.25">
      <c r="D1887" s="5"/>
      <c r="L1887" s="6"/>
    </row>
    <row r="1888" spans="4:12" x14ac:dyDescent="0.25">
      <c r="D1888" s="5"/>
      <c r="L1888" s="6"/>
    </row>
    <row r="1889" spans="4:12" x14ac:dyDescent="0.25">
      <c r="D1889" s="5"/>
    </row>
    <row r="1890" spans="4:12" x14ac:dyDescent="0.25">
      <c r="D1890" s="5"/>
      <c r="L1890" s="6"/>
    </row>
    <row r="1891" spans="4:12" x14ac:dyDescent="0.25">
      <c r="D1891" s="5"/>
    </row>
    <row r="1892" spans="4:12" x14ac:dyDescent="0.25">
      <c r="D1892" s="5"/>
      <c r="L1892" s="6"/>
    </row>
    <row r="1893" spans="4:12" x14ac:dyDescent="0.25">
      <c r="D1893" s="5"/>
      <c r="L1893" s="6"/>
    </row>
    <row r="1894" spans="4:12" x14ac:dyDescent="0.25">
      <c r="D1894" s="5"/>
      <c r="L1894" s="6"/>
    </row>
    <row r="1895" spans="4:12" x14ac:dyDescent="0.25">
      <c r="D1895" s="5"/>
      <c r="L1895" s="6"/>
    </row>
    <row r="1896" spans="4:12" x14ac:dyDescent="0.25">
      <c r="D1896" s="5"/>
      <c r="L1896" s="6"/>
    </row>
    <row r="1897" spans="4:12" x14ac:dyDescent="0.25">
      <c r="D1897" s="5"/>
      <c r="L1897" s="6"/>
    </row>
    <row r="1898" spans="4:12" x14ac:dyDescent="0.25">
      <c r="D1898" s="5"/>
      <c r="L1898" s="6"/>
    </row>
    <row r="1899" spans="4:12" x14ac:dyDescent="0.25">
      <c r="D1899" s="5"/>
      <c r="L1899" s="6"/>
    </row>
    <row r="1900" spans="4:12" x14ac:dyDescent="0.25">
      <c r="D1900" s="5"/>
      <c r="L1900" s="6"/>
    </row>
    <row r="1901" spans="4:12" x14ac:dyDescent="0.25">
      <c r="D1901" s="5"/>
      <c r="L1901" s="6"/>
    </row>
    <row r="1902" spans="4:12" x14ac:dyDescent="0.25">
      <c r="D1902" s="5"/>
    </row>
    <row r="1903" spans="4:12" x14ac:dyDescent="0.25">
      <c r="D1903" s="5"/>
      <c r="L1903" s="6"/>
    </row>
    <row r="1904" spans="4:12" x14ac:dyDescent="0.25">
      <c r="D1904" s="5"/>
      <c r="L1904" s="6"/>
    </row>
    <row r="1905" spans="4:12" x14ac:dyDescent="0.25">
      <c r="D1905" s="5"/>
      <c r="L1905" s="6"/>
    </row>
    <row r="1906" spans="4:12" x14ac:dyDescent="0.25">
      <c r="D1906" s="5"/>
    </row>
    <row r="1907" spans="4:12" x14ac:dyDescent="0.25">
      <c r="D1907" s="5"/>
      <c r="L1907" s="6"/>
    </row>
    <row r="1908" spans="4:12" x14ac:dyDescent="0.25">
      <c r="D1908" s="5"/>
      <c r="L1908" s="6"/>
    </row>
    <row r="1909" spans="4:12" x14ac:dyDescent="0.25">
      <c r="D1909" s="5"/>
      <c r="L1909" s="6"/>
    </row>
    <row r="1910" spans="4:12" x14ac:dyDescent="0.25">
      <c r="D1910" s="5"/>
      <c r="L1910" s="6"/>
    </row>
    <row r="1911" spans="4:12" x14ac:dyDescent="0.25">
      <c r="D1911" s="5"/>
      <c r="L1911" s="6"/>
    </row>
    <row r="1912" spans="4:12" x14ac:dyDescent="0.25">
      <c r="D1912" s="5"/>
      <c r="L1912" s="6"/>
    </row>
    <row r="1913" spans="4:12" x14ac:dyDescent="0.25">
      <c r="D1913" s="5"/>
      <c r="L1913" s="6"/>
    </row>
    <row r="1914" spans="4:12" x14ac:dyDescent="0.25">
      <c r="D1914" s="5"/>
      <c r="L1914" s="6"/>
    </row>
    <row r="1915" spans="4:12" x14ac:dyDescent="0.25">
      <c r="D1915" s="5"/>
      <c r="L1915" s="6"/>
    </row>
    <row r="1916" spans="4:12" x14ac:dyDescent="0.25">
      <c r="D1916" s="5"/>
      <c r="L1916" s="6"/>
    </row>
    <row r="1917" spans="4:12" x14ac:dyDescent="0.25">
      <c r="D1917" s="5"/>
      <c r="L1917" s="6"/>
    </row>
    <row r="1918" spans="4:12" x14ac:dyDescent="0.25">
      <c r="D1918" s="5"/>
      <c r="L1918" s="6"/>
    </row>
    <row r="1919" spans="4:12" x14ac:dyDescent="0.25">
      <c r="D1919" s="5"/>
      <c r="L1919" s="6"/>
    </row>
    <row r="1920" spans="4:12" x14ac:dyDescent="0.25">
      <c r="D1920" s="5"/>
      <c r="L1920" s="6"/>
    </row>
    <row r="1921" spans="4:12" x14ac:dyDescent="0.25">
      <c r="D1921" s="5"/>
      <c r="L1921" s="6"/>
    </row>
    <row r="1922" spans="4:12" x14ac:dyDescent="0.25">
      <c r="D1922" s="5"/>
      <c r="L1922" s="6"/>
    </row>
    <row r="1923" spans="4:12" x14ac:dyDescent="0.25">
      <c r="D1923" s="5"/>
      <c r="L1923" s="6"/>
    </row>
    <row r="1924" spans="4:12" x14ac:dyDescent="0.25">
      <c r="D1924" s="5"/>
      <c r="L1924" s="6"/>
    </row>
    <row r="1925" spans="4:12" x14ac:dyDescent="0.25">
      <c r="D1925" s="5"/>
      <c r="L1925" s="6"/>
    </row>
    <row r="1926" spans="4:12" x14ac:dyDescent="0.25">
      <c r="D1926" s="5"/>
      <c r="L1926" s="6"/>
    </row>
    <row r="1927" spans="4:12" x14ac:dyDescent="0.25">
      <c r="D1927" s="5"/>
      <c r="L1927" s="6"/>
    </row>
    <row r="1928" spans="4:12" x14ac:dyDescent="0.25">
      <c r="D1928" s="5"/>
      <c r="L1928" s="6"/>
    </row>
    <row r="1929" spans="4:12" x14ac:dyDescent="0.25">
      <c r="D1929" s="5"/>
      <c r="L1929" s="6"/>
    </row>
    <row r="1930" spans="4:12" x14ac:dyDescent="0.25">
      <c r="D1930" s="5"/>
      <c r="L1930" s="6"/>
    </row>
    <row r="1931" spans="4:12" x14ac:dyDescent="0.25">
      <c r="D1931" s="5"/>
    </row>
    <row r="1932" spans="4:12" x14ac:dyDescent="0.25">
      <c r="D1932" s="5"/>
      <c r="L1932" s="6"/>
    </row>
    <row r="1933" spans="4:12" x14ac:dyDescent="0.25">
      <c r="D1933" s="5"/>
    </row>
    <row r="1934" spans="4:12" x14ac:dyDescent="0.25">
      <c r="D1934" s="5"/>
      <c r="L1934" s="6"/>
    </row>
    <row r="1935" spans="4:12" x14ac:dyDescent="0.25">
      <c r="D1935" s="5"/>
    </row>
    <row r="1936" spans="4:12" x14ac:dyDescent="0.25">
      <c r="D1936" s="5"/>
      <c r="L1936" s="6"/>
    </row>
    <row r="1937" spans="4:12" x14ac:dyDescent="0.25">
      <c r="D1937" s="5"/>
      <c r="L1937" s="6"/>
    </row>
    <row r="1938" spans="4:12" x14ac:dyDescent="0.25">
      <c r="D1938" s="5"/>
    </row>
    <row r="1939" spans="4:12" x14ac:dyDescent="0.25">
      <c r="D1939" s="5"/>
      <c r="L1939" s="6"/>
    </row>
    <row r="1940" spans="4:12" x14ac:dyDescent="0.25">
      <c r="D1940" s="5"/>
      <c r="L1940" s="6"/>
    </row>
    <row r="1941" spans="4:12" x14ac:dyDescent="0.25">
      <c r="D1941" s="5"/>
      <c r="L1941" s="6"/>
    </row>
    <row r="1942" spans="4:12" x14ac:dyDescent="0.25">
      <c r="D1942" s="5"/>
    </row>
    <row r="1943" spans="4:12" x14ac:dyDescent="0.25">
      <c r="D1943" s="5"/>
      <c r="L1943" s="6"/>
    </row>
    <row r="1944" spans="4:12" x14ac:dyDescent="0.25">
      <c r="D1944" s="5"/>
      <c r="L1944" s="6"/>
    </row>
    <row r="1945" spans="4:12" x14ac:dyDescent="0.25">
      <c r="D1945" s="5"/>
      <c r="L1945" s="6"/>
    </row>
    <row r="1946" spans="4:12" x14ac:dyDescent="0.25">
      <c r="D1946" s="5"/>
      <c r="L1946" s="6"/>
    </row>
    <row r="1947" spans="4:12" x14ac:dyDescent="0.25">
      <c r="D1947" s="5"/>
    </row>
    <row r="1948" spans="4:12" x14ac:dyDescent="0.25">
      <c r="D1948" s="5"/>
      <c r="L1948" s="6"/>
    </row>
    <row r="1949" spans="4:12" x14ac:dyDescent="0.25">
      <c r="D1949" s="5"/>
      <c r="L1949" s="6"/>
    </row>
    <row r="1950" spans="4:12" x14ac:dyDescent="0.25">
      <c r="D1950" s="5"/>
      <c r="L1950" s="6"/>
    </row>
    <row r="1951" spans="4:12" x14ac:dyDescent="0.25">
      <c r="D1951" s="5"/>
      <c r="L1951" s="6"/>
    </row>
    <row r="1952" spans="4:12" x14ac:dyDescent="0.25">
      <c r="D1952" s="5"/>
      <c r="L1952" s="6"/>
    </row>
    <row r="1953" spans="4:12" x14ac:dyDescent="0.25">
      <c r="D1953" s="5"/>
      <c r="L1953" s="6"/>
    </row>
    <row r="1954" spans="4:12" x14ac:dyDescent="0.25">
      <c r="D1954" s="5"/>
      <c r="L1954" s="6"/>
    </row>
    <row r="1955" spans="4:12" x14ac:dyDescent="0.25">
      <c r="D1955" s="5"/>
      <c r="L1955" s="6"/>
    </row>
    <row r="1956" spans="4:12" x14ac:dyDescent="0.25">
      <c r="D1956" s="5"/>
      <c r="L1956" s="6"/>
    </row>
    <row r="1957" spans="4:12" x14ac:dyDescent="0.25">
      <c r="D1957" s="5"/>
      <c r="L1957" s="6"/>
    </row>
    <row r="1958" spans="4:12" x14ac:dyDescent="0.25">
      <c r="D1958" s="5"/>
      <c r="L1958" s="6"/>
    </row>
    <row r="1959" spans="4:12" x14ac:dyDescent="0.25">
      <c r="D1959" s="5"/>
    </row>
    <row r="1960" spans="4:12" x14ac:dyDescent="0.25">
      <c r="D1960" s="5"/>
      <c r="L1960" s="6"/>
    </row>
    <row r="1961" spans="4:12" x14ac:dyDescent="0.25">
      <c r="D1961" s="5"/>
      <c r="L1961" s="6"/>
    </row>
    <row r="1962" spans="4:12" x14ac:dyDescent="0.25">
      <c r="D1962" s="5"/>
      <c r="L1962" s="6"/>
    </row>
    <row r="1963" spans="4:12" x14ac:dyDescent="0.25">
      <c r="D1963" s="5"/>
      <c r="L1963" s="6"/>
    </row>
    <row r="1964" spans="4:12" x14ac:dyDescent="0.25">
      <c r="D1964" s="5"/>
      <c r="L1964" s="6"/>
    </row>
    <row r="1965" spans="4:12" x14ac:dyDescent="0.25">
      <c r="D1965" s="5"/>
      <c r="L1965" s="6"/>
    </row>
    <row r="1966" spans="4:12" x14ac:dyDescent="0.25">
      <c r="D1966" s="5"/>
      <c r="L1966" s="6"/>
    </row>
    <row r="1967" spans="4:12" x14ac:dyDescent="0.25">
      <c r="D1967" s="5"/>
      <c r="L1967" s="6"/>
    </row>
    <row r="1968" spans="4:12" x14ac:dyDescent="0.25">
      <c r="D1968" s="5"/>
      <c r="L1968" s="6"/>
    </row>
    <row r="1969" spans="4:12" x14ac:dyDescent="0.25">
      <c r="D1969" s="5"/>
      <c r="L1969" s="6"/>
    </row>
    <row r="1970" spans="4:12" x14ac:dyDescent="0.25">
      <c r="D1970" s="5"/>
      <c r="L1970" s="6"/>
    </row>
    <row r="1971" spans="4:12" x14ac:dyDescent="0.25">
      <c r="D1971" s="5"/>
      <c r="L1971" s="6"/>
    </row>
    <row r="1972" spans="4:12" x14ac:dyDescent="0.25">
      <c r="D1972" s="5"/>
      <c r="L1972" s="6"/>
    </row>
    <row r="1973" spans="4:12" x14ac:dyDescent="0.25">
      <c r="D1973" s="5"/>
      <c r="L1973" s="6"/>
    </row>
    <row r="1974" spans="4:12" x14ac:dyDescent="0.25">
      <c r="D1974" s="5"/>
      <c r="L1974" s="6"/>
    </row>
    <row r="1975" spans="4:12" x14ac:dyDescent="0.25">
      <c r="D1975" s="5"/>
    </row>
    <row r="1976" spans="4:12" x14ac:dyDescent="0.25">
      <c r="D1976" s="5"/>
      <c r="L1976" s="6"/>
    </row>
    <row r="1977" spans="4:12" x14ac:dyDescent="0.25">
      <c r="D1977" s="5"/>
      <c r="L1977" s="6"/>
    </row>
    <row r="1978" spans="4:12" x14ac:dyDescent="0.25">
      <c r="D1978" s="5"/>
      <c r="L1978" s="6"/>
    </row>
    <row r="1979" spans="4:12" x14ac:dyDescent="0.25">
      <c r="D1979" s="5"/>
      <c r="L1979" s="6"/>
    </row>
    <row r="1980" spans="4:12" x14ac:dyDescent="0.25">
      <c r="D1980" s="5"/>
      <c r="L1980" s="6"/>
    </row>
    <row r="1981" spans="4:12" x14ac:dyDescent="0.25">
      <c r="D1981" s="5"/>
      <c r="L1981" s="6"/>
    </row>
    <row r="1982" spans="4:12" x14ac:dyDescent="0.25">
      <c r="D1982" s="5"/>
      <c r="L1982" s="6"/>
    </row>
    <row r="1983" spans="4:12" x14ac:dyDescent="0.25">
      <c r="D1983" s="5"/>
      <c r="L1983" s="6"/>
    </row>
    <row r="1984" spans="4:12" x14ac:dyDescent="0.25">
      <c r="D1984" s="5"/>
      <c r="L1984" s="6"/>
    </row>
    <row r="1985" spans="4:12" x14ac:dyDescent="0.25">
      <c r="D1985" s="5"/>
      <c r="L1985" s="6"/>
    </row>
    <row r="1986" spans="4:12" x14ac:dyDescent="0.25">
      <c r="D1986" s="5"/>
      <c r="L1986" s="6"/>
    </row>
    <row r="1987" spans="4:12" x14ac:dyDescent="0.25">
      <c r="D1987" s="5"/>
      <c r="L1987" s="6"/>
    </row>
    <row r="1988" spans="4:12" x14ac:dyDescent="0.25">
      <c r="D1988" s="5"/>
      <c r="L1988" s="6"/>
    </row>
    <row r="1989" spans="4:12" x14ac:dyDescent="0.25">
      <c r="D1989" s="5"/>
      <c r="L1989" s="6"/>
    </row>
    <row r="1990" spans="4:12" x14ac:dyDescent="0.25">
      <c r="D1990" s="5"/>
      <c r="L1990" s="6"/>
    </row>
    <row r="1991" spans="4:12" x14ac:dyDescent="0.25">
      <c r="D1991" s="5"/>
      <c r="L1991" s="6"/>
    </row>
    <row r="1992" spans="4:12" x14ac:dyDescent="0.25">
      <c r="D1992" s="5"/>
      <c r="L1992" s="6"/>
    </row>
    <row r="1993" spans="4:12" x14ac:dyDescent="0.25">
      <c r="D1993" s="5"/>
      <c r="L1993" s="6"/>
    </row>
    <row r="1994" spans="4:12" x14ac:dyDescent="0.25">
      <c r="D1994" s="5"/>
      <c r="L1994" s="6"/>
    </row>
    <row r="1995" spans="4:12" x14ac:dyDescent="0.25">
      <c r="D1995" s="5"/>
      <c r="L1995" s="6"/>
    </row>
    <row r="1996" spans="4:12" x14ac:dyDescent="0.25">
      <c r="D1996" s="5"/>
      <c r="L1996" s="6"/>
    </row>
    <row r="1997" spans="4:12" x14ac:dyDescent="0.25">
      <c r="D1997" s="5"/>
      <c r="L1997" s="6"/>
    </row>
    <row r="1998" spans="4:12" x14ac:dyDescent="0.25">
      <c r="D1998" s="5"/>
      <c r="L1998" s="6"/>
    </row>
    <row r="1999" spans="4:12" x14ac:dyDescent="0.25">
      <c r="D1999" s="5"/>
      <c r="L1999" s="6"/>
    </row>
    <row r="2000" spans="4:12" x14ac:dyDescent="0.25">
      <c r="D2000" s="5"/>
      <c r="L2000" s="6"/>
    </row>
    <row r="2001" spans="4:12" x14ac:dyDescent="0.25">
      <c r="D2001" s="5"/>
      <c r="L2001" s="6"/>
    </row>
    <row r="2002" spans="4:12" x14ac:dyDescent="0.25">
      <c r="D2002" s="5"/>
      <c r="L2002" s="6"/>
    </row>
    <row r="2003" spans="4:12" x14ac:dyDescent="0.25">
      <c r="D2003" s="5"/>
      <c r="L2003" s="6"/>
    </row>
    <row r="2004" spans="4:12" x14ac:dyDescent="0.25">
      <c r="D2004" s="5"/>
      <c r="L2004" s="6"/>
    </row>
    <row r="2005" spans="4:12" x14ac:dyDescent="0.25">
      <c r="D2005" s="5"/>
      <c r="L2005" s="6"/>
    </row>
    <row r="2006" spans="4:12" x14ac:dyDescent="0.25">
      <c r="D2006" s="5"/>
      <c r="L2006" s="6"/>
    </row>
    <row r="2007" spans="4:12" x14ac:dyDescent="0.25">
      <c r="D2007" s="5"/>
      <c r="L2007" s="6"/>
    </row>
    <row r="2008" spans="4:12" x14ac:dyDescent="0.25">
      <c r="D2008" s="5"/>
      <c r="L2008" s="6"/>
    </row>
    <row r="2009" spans="4:12" x14ac:dyDescent="0.25">
      <c r="D2009" s="5"/>
      <c r="L2009" s="6"/>
    </row>
    <row r="2010" spans="4:12" x14ac:dyDescent="0.25">
      <c r="D2010" s="5"/>
      <c r="L2010" s="6"/>
    </row>
    <row r="2011" spans="4:12" x14ac:dyDescent="0.25">
      <c r="D2011" s="5"/>
      <c r="L2011" s="6"/>
    </row>
    <row r="2012" spans="4:12" x14ac:dyDescent="0.25">
      <c r="D2012" s="5"/>
      <c r="L2012" s="6"/>
    </row>
    <row r="2013" spans="4:12" x14ac:dyDescent="0.25">
      <c r="D2013" s="5"/>
      <c r="L2013" s="6"/>
    </row>
    <row r="2014" spans="4:12" x14ac:dyDescent="0.25">
      <c r="D2014" s="5"/>
      <c r="L2014" s="6"/>
    </row>
    <row r="2015" spans="4:12" x14ac:dyDescent="0.25">
      <c r="D2015" s="5"/>
      <c r="L2015" s="6"/>
    </row>
    <row r="2016" spans="4:12" x14ac:dyDescent="0.25">
      <c r="D2016" s="5"/>
    </row>
    <row r="2017" spans="4:12" x14ac:dyDescent="0.25">
      <c r="D2017" s="5"/>
      <c r="L2017" s="6"/>
    </row>
    <row r="2018" spans="4:12" x14ac:dyDescent="0.25">
      <c r="D2018" s="5"/>
      <c r="L2018" s="6"/>
    </row>
    <row r="2019" spans="4:12" x14ac:dyDescent="0.25">
      <c r="D2019" s="5"/>
      <c r="L2019" s="6"/>
    </row>
    <row r="2020" spans="4:12" x14ac:dyDescent="0.25">
      <c r="D2020" s="5"/>
      <c r="L2020" s="6"/>
    </row>
    <row r="2021" spans="4:12" x14ac:dyDescent="0.25">
      <c r="D2021" s="5"/>
      <c r="L2021" s="6"/>
    </row>
    <row r="2022" spans="4:12" x14ac:dyDescent="0.25">
      <c r="D2022" s="5"/>
      <c r="L2022" s="6"/>
    </row>
    <row r="2023" spans="4:12" x14ac:dyDescent="0.25">
      <c r="D2023" s="5"/>
      <c r="L2023" s="6"/>
    </row>
    <row r="2024" spans="4:12" x14ac:dyDescent="0.25">
      <c r="D2024" s="5"/>
    </row>
    <row r="2025" spans="4:12" x14ac:dyDescent="0.25">
      <c r="D2025" s="5"/>
      <c r="L2025" s="6"/>
    </row>
    <row r="2026" spans="4:12" x14ac:dyDescent="0.25">
      <c r="D2026" s="5"/>
      <c r="L2026" s="6"/>
    </row>
    <row r="2027" spans="4:12" x14ac:dyDescent="0.25">
      <c r="D2027" s="5"/>
    </row>
    <row r="2028" spans="4:12" x14ac:dyDescent="0.25">
      <c r="D2028" s="5"/>
      <c r="L2028" s="6"/>
    </row>
    <row r="2029" spans="4:12" x14ac:dyDescent="0.25">
      <c r="D2029" s="5"/>
      <c r="L2029" s="6"/>
    </row>
    <row r="2030" spans="4:12" x14ac:dyDescent="0.25">
      <c r="D2030" s="5"/>
      <c r="L2030" s="6"/>
    </row>
    <row r="2031" spans="4:12" x14ac:dyDescent="0.25">
      <c r="D2031" s="5"/>
      <c r="L2031" s="6"/>
    </row>
    <row r="2032" spans="4:12" x14ac:dyDescent="0.25">
      <c r="D2032" s="5"/>
      <c r="L2032" s="6"/>
    </row>
    <row r="2033" spans="4:12" x14ac:dyDescent="0.25">
      <c r="D2033" s="5"/>
      <c r="L2033" s="6"/>
    </row>
    <row r="2034" spans="4:12" x14ac:dyDescent="0.25">
      <c r="D2034" s="5"/>
      <c r="L2034" s="6"/>
    </row>
    <row r="2035" spans="4:12" x14ac:dyDescent="0.25">
      <c r="D2035" s="5"/>
      <c r="L2035" s="6"/>
    </row>
    <row r="2036" spans="4:12" x14ac:dyDescent="0.25">
      <c r="D2036" s="5"/>
      <c r="L2036" s="6"/>
    </row>
    <row r="2037" spans="4:12" x14ac:dyDescent="0.25">
      <c r="D2037" s="5"/>
      <c r="L2037" s="6"/>
    </row>
    <row r="2038" spans="4:12" x14ac:dyDescent="0.25">
      <c r="D2038" s="5"/>
      <c r="L2038" s="6"/>
    </row>
    <row r="2039" spans="4:12" x14ac:dyDescent="0.25">
      <c r="D2039" s="5"/>
      <c r="L2039" s="6"/>
    </row>
    <row r="2040" spans="4:12" x14ac:dyDescent="0.25">
      <c r="D2040" s="5"/>
      <c r="L2040" s="6"/>
    </row>
    <row r="2041" spans="4:12" x14ac:dyDescent="0.25">
      <c r="D2041" s="5"/>
    </row>
    <row r="2042" spans="4:12" x14ac:dyDescent="0.25">
      <c r="D2042" s="5"/>
      <c r="L2042" s="6"/>
    </row>
    <row r="2043" spans="4:12" x14ac:dyDescent="0.25">
      <c r="D2043" s="5"/>
      <c r="L2043" s="6"/>
    </row>
    <row r="2044" spans="4:12" x14ac:dyDescent="0.25">
      <c r="D2044" s="5"/>
    </row>
    <row r="2045" spans="4:12" x14ac:dyDescent="0.25">
      <c r="D2045" s="5"/>
      <c r="L2045" s="6"/>
    </row>
    <row r="2046" spans="4:12" x14ac:dyDescent="0.25">
      <c r="D2046" s="5"/>
    </row>
    <row r="2047" spans="4:12" x14ac:dyDescent="0.25">
      <c r="D2047" s="5"/>
      <c r="L2047" s="6"/>
    </row>
    <row r="2048" spans="4:12" x14ac:dyDescent="0.25">
      <c r="D2048" s="5"/>
      <c r="L2048" s="6"/>
    </row>
    <row r="2049" spans="4:12" x14ac:dyDescent="0.25">
      <c r="D2049" s="5"/>
      <c r="L2049" s="6"/>
    </row>
    <row r="2050" spans="4:12" x14ac:dyDescent="0.25">
      <c r="D2050" s="5"/>
      <c r="L2050" s="6"/>
    </row>
    <row r="2051" spans="4:12" x14ac:dyDescent="0.25">
      <c r="D2051" s="5"/>
      <c r="L2051" s="6"/>
    </row>
    <row r="2052" spans="4:12" x14ac:dyDescent="0.25">
      <c r="D2052" s="5"/>
      <c r="L2052" s="6"/>
    </row>
    <row r="2053" spans="4:12" x14ac:dyDescent="0.25">
      <c r="D2053" s="5"/>
      <c r="L2053" s="6"/>
    </row>
    <row r="2054" spans="4:12" x14ac:dyDescent="0.25">
      <c r="D2054" s="5"/>
      <c r="L2054" s="6"/>
    </row>
    <row r="2055" spans="4:12" x14ac:dyDescent="0.25">
      <c r="D2055" s="5"/>
      <c r="L2055" s="6"/>
    </row>
    <row r="2056" spans="4:12" x14ac:dyDescent="0.25">
      <c r="D2056" s="5"/>
      <c r="L2056" s="6"/>
    </row>
    <row r="2057" spans="4:12" x14ac:dyDescent="0.25">
      <c r="D2057" s="5"/>
    </row>
    <row r="2058" spans="4:12" x14ac:dyDescent="0.25">
      <c r="D2058" s="5"/>
      <c r="L2058" s="6"/>
    </row>
    <row r="2059" spans="4:12" x14ac:dyDescent="0.25">
      <c r="D2059" s="5"/>
      <c r="L2059" s="6"/>
    </row>
    <row r="2060" spans="4:12" x14ac:dyDescent="0.25">
      <c r="D2060" s="5"/>
      <c r="L2060" s="6"/>
    </row>
    <row r="2061" spans="4:12" x14ac:dyDescent="0.25">
      <c r="D2061" s="5"/>
      <c r="L2061" s="6"/>
    </row>
    <row r="2062" spans="4:12" x14ac:dyDescent="0.25">
      <c r="D2062" s="5"/>
      <c r="L2062" s="6"/>
    </row>
    <row r="2063" spans="4:12" x14ac:dyDescent="0.25">
      <c r="D2063" s="5"/>
      <c r="L2063" s="6"/>
    </row>
    <row r="2064" spans="4:12" x14ac:dyDescent="0.25">
      <c r="D2064" s="5"/>
      <c r="L2064" s="6"/>
    </row>
    <row r="2065" spans="4:12" x14ac:dyDescent="0.25">
      <c r="D2065" s="5"/>
    </row>
    <row r="2066" spans="4:12" x14ac:dyDescent="0.25">
      <c r="D2066" s="5"/>
      <c r="L2066" s="6"/>
    </row>
    <row r="2067" spans="4:12" x14ac:dyDescent="0.25">
      <c r="D2067" s="5"/>
      <c r="L2067" s="6"/>
    </row>
    <row r="2068" spans="4:12" x14ac:dyDescent="0.25">
      <c r="D2068" s="5"/>
      <c r="L2068" s="6"/>
    </row>
    <row r="2069" spans="4:12" x14ac:dyDescent="0.25">
      <c r="D2069" s="5"/>
      <c r="L2069" s="6"/>
    </row>
    <row r="2070" spans="4:12" x14ac:dyDescent="0.25">
      <c r="D2070" s="5"/>
      <c r="L2070" s="6"/>
    </row>
    <row r="2071" spans="4:12" x14ac:dyDescent="0.25">
      <c r="D2071" s="5"/>
    </row>
    <row r="2072" spans="4:12" x14ac:dyDescent="0.25">
      <c r="D2072" s="5"/>
      <c r="L2072" s="6"/>
    </row>
    <row r="2073" spans="4:12" x14ac:dyDescent="0.25">
      <c r="D2073" s="5"/>
      <c r="L2073" s="6"/>
    </row>
    <row r="2074" spans="4:12" x14ac:dyDescent="0.25">
      <c r="D2074" s="5"/>
      <c r="L2074" s="6"/>
    </row>
    <row r="2075" spans="4:12" x14ac:dyDescent="0.25">
      <c r="D2075" s="5"/>
      <c r="L2075" s="6"/>
    </row>
    <row r="2076" spans="4:12" x14ac:dyDescent="0.25">
      <c r="D2076" s="5"/>
    </row>
    <row r="2077" spans="4:12" x14ac:dyDescent="0.25">
      <c r="D2077" s="5"/>
      <c r="L2077" s="6"/>
    </row>
    <row r="2078" spans="4:12" x14ac:dyDescent="0.25">
      <c r="D2078" s="5"/>
      <c r="L2078" s="6"/>
    </row>
    <row r="2079" spans="4:12" x14ac:dyDescent="0.25">
      <c r="D2079" s="5"/>
      <c r="L2079" s="6"/>
    </row>
    <row r="2080" spans="4:12" x14ac:dyDescent="0.25">
      <c r="D2080" s="5"/>
      <c r="L2080" s="6"/>
    </row>
    <row r="2081" spans="4:12" x14ac:dyDescent="0.25">
      <c r="D2081" s="5"/>
      <c r="L2081" s="6"/>
    </row>
    <row r="2082" spans="4:12" x14ac:dyDescent="0.25">
      <c r="D2082" s="5"/>
      <c r="L2082" s="6"/>
    </row>
    <row r="2083" spans="4:12" x14ac:dyDescent="0.25">
      <c r="D2083" s="5"/>
      <c r="L2083" s="6"/>
    </row>
    <row r="2084" spans="4:12" x14ac:dyDescent="0.25">
      <c r="D2084" s="5"/>
      <c r="L2084" s="6"/>
    </row>
    <row r="2085" spans="4:12" x14ac:dyDescent="0.25">
      <c r="D2085" s="5"/>
      <c r="L2085" s="6"/>
    </row>
    <row r="2086" spans="4:12" x14ac:dyDescent="0.25">
      <c r="D2086" s="5"/>
      <c r="L2086" s="6"/>
    </row>
    <row r="2087" spans="4:12" x14ac:dyDescent="0.25">
      <c r="D2087" s="5"/>
      <c r="L2087" s="6"/>
    </row>
    <row r="2088" spans="4:12" x14ac:dyDescent="0.25">
      <c r="D2088" s="5"/>
      <c r="L2088" s="6"/>
    </row>
    <row r="2089" spans="4:12" x14ac:dyDescent="0.25">
      <c r="D2089" s="5"/>
      <c r="L2089" s="6"/>
    </row>
    <row r="2090" spans="4:12" x14ac:dyDescent="0.25">
      <c r="D2090" s="5"/>
      <c r="L2090" s="6"/>
    </row>
    <row r="2091" spans="4:12" x14ac:dyDescent="0.25">
      <c r="D2091" s="5"/>
      <c r="L2091" s="6"/>
    </row>
    <row r="2092" spans="4:12" x14ac:dyDescent="0.25">
      <c r="D2092" s="5"/>
      <c r="L2092" s="6"/>
    </row>
    <row r="2093" spans="4:12" x14ac:dyDescent="0.25">
      <c r="D2093" s="5"/>
      <c r="L2093" s="6"/>
    </row>
    <row r="2094" spans="4:12" x14ac:dyDescent="0.25">
      <c r="D2094" s="5"/>
      <c r="L2094" s="6"/>
    </row>
    <row r="2095" spans="4:12" x14ac:dyDescent="0.25">
      <c r="D2095" s="5"/>
      <c r="L2095" s="6"/>
    </row>
    <row r="2096" spans="4:12" x14ac:dyDescent="0.25">
      <c r="D2096" s="5"/>
      <c r="L2096" s="6"/>
    </row>
    <row r="2097" spans="4:12" x14ac:dyDescent="0.25">
      <c r="D2097" s="5"/>
    </row>
    <row r="2098" spans="4:12" x14ac:dyDescent="0.25">
      <c r="D2098" s="5"/>
    </row>
    <row r="2099" spans="4:12" x14ac:dyDescent="0.25">
      <c r="D2099" s="5"/>
      <c r="L2099" s="6"/>
    </row>
    <row r="2100" spans="4:12" x14ac:dyDescent="0.25">
      <c r="D2100" s="5"/>
      <c r="L2100" s="6"/>
    </row>
    <row r="2101" spans="4:12" x14ac:dyDescent="0.25">
      <c r="D2101" s="5"/>
      <c r="L2101" s="6"/>
    </row>
    <row r="2102" spans="4:12" x14ac:dyDescent="0.25">
      <c r="D2102" s="5"/>
      <c r="L2102" s="6"/>
    </row>
    <row r="2103" spans="4:12" x14ac:dyDescent="0.25">
      <c r="D2103" s="5"/>
    </row>
    <row r="2104" spans="4:12" x14ac:dyDescent="0.25">
      <c r="D2104" s="5"/>
      <c r="L2104" s="6"/>
    </row>
    <row r="2105" spans="4:12" x14ac:dyDescent="0.25">
      <c r="D2105" s="5"/>
      <c r="L2105" s="6"/>
    </row>
    <row r="2106" spans="4:12" x14ac:dyDescent="0.25">
      <c r="D2106" s="5"/>
      <c r="L2106" s="6"/>
    </row>
    <row r="2107" spans="4:12" x14ac:dyDescent="0.25">
      <c r="D2107" s="5"/>
      <c r="L2107" s="6"/>
    </row>
    <row r="2108" spans="4:12" x14ac:dyDescent="0.25">
      <c r="D2108" s="5"/>
    </row>
    <row r="2109" spans="4:12" x14ac:dyDescent="0.25">
      <c r="D2109" s="5"/>
      <c r="L2109" s="6"/>
    </row>
    <row r="2110" spans="4:12" x14ac:dyDescent="0.25">
      <c r="D2110" s="5"/>
      <c r="L2110" s="6"/>
    </row>
    <row r="2111" spans="4:12" x14ac:dyDescent="0.25">
      <c r="D2111" s="5"/>
      <c r="L2111" s="6"/>
    </row>
    <row r="2112" spans="4:12" x14ac:dyDescent="0.25">
      <c r="D2112" s="5"/>
      <c r="L2112" s="6"/>
    </row>
    <row r="2113" spans="4:12" x14ac:dyDescent="0.25">
      <c r="D2113" s="5"/>
      <c r="L2113" s="6"/>
    </row>
    <row r="2114" spans="4:12" x14ac:dyDescent="0.25">
      <c r="D2114" s="5"/>
    </row>
    <row r="2115" spans="4:12" x14ac:dyDescent="0.25">
      <c r="D2115" s="5"/>
      <c r="L2115" s="6"/>
    </row>
    <row r="2116" spans="4:12" x14ac:dyDescent="0.25">
      <c r="D2116" s="5"/>
      <c r="L2116" s="6"/>
    </row>
    <row r="2117" spans="4:12" x14ac:dyDescent="0.25">
      <c r="D2117" s="5"/>
      <c r="L2117" s="6"/>
    </row>
    <row r="2118" spans="4:12" x14ac:dyDescent="0.25">
      <c r="D2118" s="5"/>
      <c r="L2118" s="6"/>
    </row>
    <row r="2119" spans="4:12" x14ac:dyDescent="0.25">
      <c r="D2119" s="5"/>
      <c r="L2119" s="6"/>
    </row>
    <row r="2120" spans="4:12" x14ac:dyDescent="0.25">
      <c r="D2120" s="5"/>
    </row>
    <row r="2121" spans="4:12" x14ac:dyDescent="0.25">
      <c r="D2121" s="5"/>
      <c r="L2121" s="6"/>
    </row>
    <row r="2122" spans="4:12" x14ac:dyDescent="0.25">
      <c r="D2122" s="5"/>
      <c r="L2122" s="6"/>
    </row>
    <row r="2123" spans="4:12" x14ac:dyDescent="0.25">
      <c r="D2123" s="5"/>
      <c r="L2123" s="6"/>
    </row>
    <row r="2124" spans="4:12" x14ac:dyDescent="0.25">
      <c r="D2124" s="5"/>
      <c r="L2124" s="6"/>
    </row>
    <row r="2125" spans="4:12" x14ac:dyDescent="0.25">
      <c r="D2125" s="5"/>
      <c r="L2125" s="6"/>
    </row>
    <row r="2126" spans="4:12" x14ac:dyDescent="0.25">
      <c r="D2126" s="5"/>
      <c r="L2126" s="6"/>
    </row>
    <row r="2127" spans="4:12" x14ac:dyDescent="0.25">
      <c r="D2127" s="5"/>
      <c r="L2127" s="6"/>
    </row>
    <row r="2128" spans="4:12" x14ac:dyDescent="0.25">
      <c r="D2128" s="5"/>
      <c r="L2128" s="6"/>
    </row>
    <row r="2129" spans="4:12" x14ac:dyDescent="0.25">
      <c r="D2129" s="5"/>
    </row>
    <row r="2130" spans="4:12" x14ac:dyDescent="0.25">
      <c r="D2130" s="5"/>
      <c r="L2130" s="6"/>
    </row>
    <row r="2131" spans="4:12" x14ac:dyDescent="0.25">
      <c r="D2131" s="5"/>
    </row>
    <row r="2132" spans="4:12" x14ac:dyDescent="0.25">
      <c r="D2132" s="5"/>
      <c r="L2132" s="6"/>
    </row>
    <row r="2133" spans="4:12" x14ac:dyDescent="0.25">
      <c r="D2133" s="5"/>
    </row>
    <row r="2134" spans="4:12" x14ac:dyDescent="0.25">
      <c r="D2134" s="5"/>
      <c r="L2134" s="6"/>
    </row>
    <row r="2135" spans="4:12" x14ac:dyDescent="0.25">
      <c r="D2135" s="5"/>
      <c r="L2135" s="6"/>
    </row>
    <row r="2136" spans="4:12" x14ac:dyDescent="0.25">
      <c r="D2136" s="5"/>
      <c r="L2136" s="6"/>
    </row>
    <row r="2137" spans="4:12" x14ac:dyDescent="0.25">
      <c r="D2137" s="5"/>
      <c r="L2137" s="6"/>
    </row>
    <row r="2138" spans="4:12" x14ac:dyDescent="0.25">
      <c r="D2138" s="5"/>
      <c r="L2138" s="6"/>
    </row>
    <row r="2139" spans="4:12" x14ac:dyDescent="0.25">
      <c r="D2139" s="5"/>
      <c r="L2139" s="6"/>
    </row>
    <row r="2140" spans="4:12" x14ac:dyDescent="0.25">
      <c r="D2140" s="5"/>
      <c r="L2140" s="6"/>
    </row>
    <row r="2141" spans="4:12" x14ac:dyDescent="0.25">
      <c r="D2141" s="5"/>
      <c r="L2141" s="6"/>
    </row>
    <row r="2142" spans="4:12" x14ac:dyDescent="0.25">
      <c r="D2142" s="5"/>
      <c r="L2142" s="6"/>
    </row>
    <row r="2143" spans="4:12" x14ac:dyDescent="0.25">
      <c r="D2143" s="5"/>
      <c r="L2143" s="6"/>
    </row>
    <row r="2144" spans="4:12" x14ac:dyDescent="0.25">
      <c r="D2144" s="5"/>
      <c r="L2144" s="6"/>
    </row>
    <row r="2145" spans="4:12" x14ac:dyDescent="0.25">
      <c r="D2145" s="5"/>
      <c r="L2145" s="6"/>
    </row>
    <row r="2146" spans="4:12" x14ac:dyDescent="0.25">
      <c r="D2146" s="5"/>
      <c r="L2146" s="6"/>
    </row>
    <row r="2147" spans="4:12" x14ac:dyDescent="0.25">
      <c r="D2147" s="5"/>
      <c r="L2147" s="6"/>
    </row>
    <row r="2148" spans="4:12" x14ac:dyDescent="0.25">
      <c r="D2148" s="5"/>
      <c r="L2148" s="6"/>
    </row>
    <row r="2149" spans="4:12" x14ac:dyDescent="0.25">
      <c r="D2149" s="5"/>
      <c r="L2149" s="6"/>
    </row>
    <row r="2150" spans="4:12" x14ac:dyDescent="0.25">
      <c r="D2150" s="5"/>
      <c r="L2150" s="6"/>
    </row>
    <row r="2151" spans="4:12" x14ac:dyDescent="0.25">
      <c r="D2151" s="5"/>
      <c r="L2151" s="6"/>
    </row>
    <row r="2152" spans="4:12" x14ac:dyDescent="0.25">
      <c r="D2152" s="5"/>
      <c r="L2152" s="6"/>
    </row>
    <row r="2153" spans="4:12" x14ac:dyDescent="0.25">
      <c r="D2153" s="5"/>
      <c r="L2153" s="6"/>
    </row>
    <row r="2154" spans="4:12" x14ac:dyDescent="0.25">
      <c r="D2154" s="5"/>
      <c r="L2154" s="6"/>
    </row>
    <row r="2155" spans="4:12" x14ac:dyDescent="0.25">
      <c r="D2155" s="5"/>
      <c r="L2155" s="6"/>
    </row>
    <row r="2156" spans="4:12" x14ac:dyDescent="0.25">
      <c r="D2156" s="5"/>
      <c r="L2156" s="6"/>
    </row>
    <row r="2157" spans="4:12" x14ac:dyDescent="0.25">
      <c r="D2157" s="5"/>
      <c r="L2157" s="6"/>
    </row>
    <row r="2158" spans="4:12" x14ac:dyDescent="0.25">
      <c r="D2158" s="5"/>
      <c r="L2158" s="6"/>
    </row>
    <row r="2159" spans="4:12" x14ac:dyDescent="0.25">
      <c r="D2159" s="5"/>
      <c r="L2159" s="6"/>
    </row>
    <row r="2160" spans="4:12" x14ac:dyDescent="0.25">
      <c r="D2160" s="5"/>
      <c r="L2160" s="6"/>
    </row>
    <row r="2161" spans="4:12" x14ac:dyDescent="0.25">
      <c r="D2161" s="5"/>
      <c r="L2161" s="6"/>
    </row>
    <row r="2162" spans="4:12" x14ac:dyDescent="0.25">
      <c r="D2162" s="5"/>
      <c r="L2162" s="6"/>
    </row>
    <row r="2163" spans="4:12" x14ac:dyDescent="0.25">
      <c r="D2163" s="5"/>
      <c r="L2163" s="6"/>
    </row>
    <row r="2164" spans="4:12" x14ac:dyDescent="0.25">
      <c r="D2164" s="5"/>
      <c r="L2164" s="6"/>
    </row>
    <row r="2165" spans="4:12" x14ac:dyDescent="0.25">
      <c r="D2165" s="5"/>
      <c r="L2165" s="6"/>
    </row>
    <row r="2166" spans="4:12" x14ac:dyDescent="0.25">
      <c r="D2166" s="5"/>
      <c r="L2166" s="6"/>
    </row>
    <row r="2167" spans="4:12" x14ac:dyDescent="0.25">
      <c r="D2167" s="5"/>
      <c r="L2167" s="6"/>
    </row>
    <row r="2168" spans="4:12" x14ac:dyDescent="0.25">
      <c r="D2168" s="5"/>
      <c r="L2168" s="6"/>
    </row>
    <row r="2169" spans="4:12" x14ac:dyDescent="0.25">
      <c r="D2169" s="5"/>
      <c r="L2169" s="6"/>
    </row>
    <row r="2170" spans="4:12" x14ac:dyDescent="0.25">
      <c r="D2170" s="5"/>
      <c r="L2170" s="6"/>
    </row>
    <row r="2171" spans="4:12" x14ac:dyDescent="0.25">
      <c r="D2171" s="5"/>
      <c r="L2171" s="6"/>
    </row>
    <row r="2172" spans="4:12" x14ac:dyDescent="0.25">
      <c r="D2172" s="5"/>
      <c r="L2172" s="6"/>
    </row>
    <row r="2173" spans="4:12" x14ac:dyDescent="0.25">
      <c r="D2173" s="5"/>
      <c r="L2173" s="6"/>
    </row>
    <row r="2174" spans="4:12" x14ac:dyDescent="0.25">
      <c r="D2174" s="5"/>
      <c r="L2174" s="6"/>
    </row>
    <row r="2175" spans="4:12" x14ac:dyDescent="0.25">
      <c r="D2175" s="5"/>
      <c r="L2175" s="6"/>
    </row>
    <row r="2176" spans="4:12" x14ac:dyDescent="0.25">
      <c r="D2176" s="5"/>
    </row>
    <row r="2177" spans="4:12" x14ac:dyDescent="0.25">
      <c r="D2177" s="5"/>
      <c r="L2177" s="6"/>
    </row>
    <row r="2178" spans="4:12" x14ac:dyDescent="0.25">
      <c r="D2178" s="5"/>
      <c r="L2178" s="6"/>
    </row>
    <row r="2179" spans="4:12" x14ac:dyDescent="0.25">
      <c r="D2179" s="5"/>
      <c r="L2179" s="6"/>
    </row>
    <row r="2180" spans="4:12" x14ac:dyDescent="0.25">
      <c r="D2180" s="5"/>
      <c r="L2180" s="6"/>
    </row>
    <row r="2181" spans="4:12" x14ac:dyDescent="0.25">
      <c r="D2181" s="7"/>
      <c r="L2181" s="6"/>
    </row>
    <row r="2182" spans="4:12" x14ac:dyDescent="0.25">
      <c r="D2182" s="5"/>
      <c r="L2182" s="6"/>
    </row>
    <row r="2183" spans="4:12" x14ac:dyDescent="0.25">
      <c r="D2183" s="5"/>
      <c r="L2183" s="6"/>
    </row>
    <row r="2184" spans="4:12" x14ac:dyDescent="0.25">
      <c r="D2184" s="5"/>
    </row>
    <row r="2185" spans="4:12" x14ac:dyDescent="0.25">
      <c r="D2185" s="5"/>
      <c r="L2185" s="6"/>
    </row>
    <row r="2186" spans="4:12" x14ac:dyDescent="0.25">
      <c r="D2186" s="5"/>
      <c r="L2186" s="6"/>
    </row>
    <row r="2187" spans="4:12" x14ac:dyDescent="0.25">
      <c r="D2187" s="5"/>
      <c r="L2187" s="6"/>
    </row>
    <row r="2188" spans="4:12" x14ac:dyDescent="0.25">
      <c r="D2188" s="5"/>
      <c r="L2188" s="6"/>
    </row>
    <row r="2189" spans="4:12" x14ac:dyDescent="0.25">
      <c r="D2189" s="5"/>
      <c r="L2189" s="6"/>
    </row>
    <row r="2190" spans="4:12" x14ac:dyDescent="0.25">
      <c r="D2190" s="5"/>
      <c r="L2190" s="6"/>
    </row>
    <row r="2191" spans="4:12" x14ac:dyDescent="0.25">
      <c r="D2191" s="5"/>
      <c r="L2191" s="6"/>
    </row>
    <row r="2192" spans="4:12" x14ac:dyDescent="0.25">
      <c r="D2192" s="5"/>
    </row>
    <row r="2193" spans="4:12" x14ac:dyDescent="0.25">
      <c r="D2193" s="5"/>
    </row>
    <row r="2194" spans="4:12" x14ac:dyDescent="0.25">
      <c r="D2194" s="5"/>
      <c r="L2194" s="6"/>
    </row>
    <row r="2195" spans="4:12" x14ac:dyDescent="0.25">
      <c r="D2195" s="5"/>
      <c r="L2195" s="6"/>
    </row>
    <row r="2196" spans="4:12" x14ac:dyDescent="0.25">
      <c r="D2196" s="5"/>
      <c r="L2196" s="6"/>
    </row>
    <row r="2197" spans="4:12" x14ac:dyDescent="0.25">
      <c r="D2197" s="5"/>
      <c r="L2197" s="6"/>
    </row>
    <row r="2198" spans="4:12" x14ac:dyDescent="0.25">
      <c r="D2198" s="5"/>
      <c r="L2198" s="6"/>
    </row>
    <row r="2199" spans="4:12" x14ac:dyDescent="0.25">
      <c r="D2199" s="5"/>
      <c r="L2199" s="6"/>
    </row>
    <row r="2200" spans="4:12" x14ac:dyDescent="0.25">
      <c r="D2200" s="5"/>
      <c r="L2200" s="6"/>
    </row>
    <row r="2201" spans="4:12" x14ac:dyDescent="0.25">
      <c r="D2201" s="5"/>
      <c r="L2201" s="6"/>
    </row>
    <row r="2202" spans="4:12" x14ac:dyDescent="0.25">
      <c r="D2202" s="5"/>
      <c r="L2202" s="6"/>
    </row>
    <row r="2203" spans="4:12" x14ac:dyDescent="0.25">
      <c r="D2203" s="5"/>
      <c r="L2203" s="6"/>
    </row>
    <row r="2204" spans="4:12" x14ac:dyDescent="0.25">
      <c r="D2204" s="5"/>
      <c r="L2204" s="6"/>
    </row>
    <row r="2205" spans="4:12" x14ac:dyDescent="0.25">
      <c r="D2205" s="5"/>
      <c r="L2205" s="6"/>
    </row>
    <row r="2206" spans="4:12" x14ac:dyDescent="0.25">
      <c r="D2206" s="5"/>
      <c r="L2206" s="6"/>
    </row>
    <row r="2207" spans="4:12" x14ac:dyDescent="0.25">
      <c r="D2207" s="5"/>
      <c r="L2207" s="6"/>
    </row>
    <row r="2208" spans="4:12" x14ac:dyDescent="0.25">
      <c r="D2208" s="5"/>
      <c r="L2208" s="6"/>
    </row>
    <row r="2209" spans="4:12" x14ac:dyDescent="0.25">
      <c r="D2209" s="5"/>
      <c r="L2209" s="6"/>
    </row>
    <row r="2210" spans="4:12" x14ac:dyDescent="0.25">
      <c r="D2210" s="5"/>
      <c r="L2210" s="6"/>
    </row>
    <row r="2211" spans="4:12" x14ac:dyDescent="0.25">
      <c r="D2211" s="5"/>
      <c r="L2211" s="6"/>
    </row>
    <row r="2212" spans="4:12" x14ac:dyDescent="0.25">
      <c r="D2212" s="5"/>
      <c r="L2212" s="6"/>
    </row>
    <row r="2213" spans="4:12" x14ac:dyDescent="0.25">
      <c r="D2213" s="5"/>
      <c r="L2213" s="6"/>
    </row>
    <row r="2214" spans="4:12" x14ac:dyDescent="0.25">
      <c r="D2214" s="5"/>
      <c r="L2214" s="6"/>
    </row>
    <row r="2215" spans="4:12" x14ac:dyDescent="0.25">
      <c r="D2215" s="5"/>
      <c r="L2215" s="6"/>
    </row>
    <row r="2216" spans="4:12" x14ac:dyDescent="0.25">
      <c r="D2216" s="5"/>
      <c r="L2216" s="6"/>
    </row>
    <row r="2217" spans="4:12" x14ac:dyDescent="0.25">
      <c r="D2217" s="5"/>
      <c r="L2217" s="6"/>
    </row>
    <row r="2218" spans="4:12" x14ac:dyDescent="0.25">
      <c r="D2218" s="5"/>
      <c r="L2218" s="6"/>
    </row>
    <row r="2219" spans="4:12" x14ac:dyDescent="0.25">
      <c r="D2219" s="5"/>
      <c r="L2219" s="6"/>
    </row>
    <row r="2220" spans="4:12" x14ac:dyDescent="0.25">
      <c r="D2220" s="5"/>
    </row>
    <row r="2221" spans="4:12" x14ac:dyDescent="0.25">
      <c r="D2221" s="5"/>
      <c r="L2221" s="6"/>
    </row>
    <row r="2222" spans="4:12" x14ac:dyDescent="0.25">
      <c r="D2222" s="5"/>
      <c r="L2222" s="6"/>
    </row>
    <row r="2223" spans="4:12" x14ac:dyDescent="0.25">
      <c r="D2223" s="5"/>
      <c r="L2223" s="6"/>
    </row>
    <row r="2224" spans="4:12" x14ac:dyDescent="0.25">
      <c r="D2224" s="5"/>
      <c r="L2224" s="6"/>
    </row>
    <row r="2225" spans="4:12" x14ac:dyDescent="0.25">
      <c r="D2225" s="5"/>
      <c r="L2225" s="6"/>
    </row>
    <row r="2226" spans="4:12" x14ac:dyDescent="0.25">
      <c r="D2226" s="5"/>
      <c r="L2226" s="6"/>
    </row>
    <row r="2227" spans="4:12" x14ac:dyDescent="0.25">
      <c r="D2227" s="5"/>
    </row>
    <row r="2228" spans="4:12" x14ac:dyDescent="0.25">
      <c r="D2228" s="5"/>
      <c r="L2228" s="6"/>
    </row>
    <row r="2229" spans="4:12" x14ac:dyDescent="0.25">
      <c r="D2229" s="5"/>
      <c r="L2229" s="6"/>
    </row>
    <row r="2230" spans="4:12" x14ac:dyDescent="0.25">
      <c r="D2230" s="5"/>
      <c r="L2230" s="6"/>
    </row>
    <row r="2231" spans="4:12" x14ac:dyDescent="0.25">
      <c r="D2231" s="5"/>
    </row>
    <row r="2232" spans="4:12" x14ac:dyDescent="0.25">
      <c r="D2232" s="5"/>
      <c r="L2232" s="6"/>
    </row>
    <row r="2233" spans="4:12" x14ac:dyDescent="0.25">
      <c r="D2233" s="5"/>
      <c r="L2233" s="6"/>
    </row>
    <row r="2234" spans="4:12" x14ac:dyDescent="0.25">
      <c r="D2234" s="5"/>
      <c r="L2234" s="6"/>
    </row>
    <row r="2235" spans="4:12" x14ac:dyDescent="0.25">
      <c r="D2235" s="5"/>
      <c r="L2235" s="6"/>
    </row>
  </sheetData>
  <autoFilter ref="A1:N1" xr:uid="{652FBC41-3BFA-475A-9758-9D8E8F7CFBD8}">
    <sortState xmlns:xlrd2="http://schemas.microsoft.com/office/spreadsheetml/2017/richdata2" ref="A2:N1775">
      <sortCondition ref="N1"/>
    </sortState>
  </autoFilter>
  <sortState xmlns:xlrd2="http://schemas.microsoft.com/office/spreadsheetml/2017/richdata2" ref="A2:N1275">
    <sortCondition ref="A1:A1275"/>
  </sortState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TECHNICAL UNIVERSITY OF DENMARK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Patricia Elizabeth Arias Orozco</dc:creator>
  <cp:lastModifiedBy>Patricia Elizabeth Arias Orozco</cp:lastModifiedBy>
  <dcterms:created xsi:type="dcterms:W3CDTF">2025-10-01T09:17:51Z</dcterms:created>
  <dcterms:modified xsi:type="dcterms:W3CDTF">2026-01-20T13:49:20Z</dcterms:modified>
</cp:coreProperties>
</file>